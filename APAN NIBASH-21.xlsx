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75" windowWidth="20055" windowHeight="7935" firstSheet="9" activeTab="1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Year-2018 (2)" sheetId="10" r:id="rId8"/>
    <sheet name="Year-2018" sheetId="8" r:id="rId9"/>
    <sheet name="Year-2019" sheetId="9" r:id="rId10"/>
    <sheet name="Year-2019 (2)" sheetId="11" r:id="rId11"/>
    <sheet name="Year-2020(1)" sheetId="12" r:id="rId12"/>
    <sheet name="Year-20 (o2)" sheetId="13" r:id="rId13"/>
    <sheet name="Year-2021 (1)" sheetId="14" r:id="rId14"/>
    <sheet name="Year-2021(2)" sheetId="15" r:id="rId15"/>
    <sheet name="Year-2022(1)" sheetId="16" r:id="rId16"/>
  </sheets>
  <calcPr calcId="144525"/>
</workbook>
</file>

<file path=xl/calcChain.xml><?xml version="1.0" encoding="utf-8"?>
<calcChain xmlns="http://schemas.openxmlformats.org/spreadsheetml/2006/main">
  <c r="G51" i="16" l="1"/>
  <c r="J63" i="16"/>
  <c r="I66" i="16"/>
  <c r="H66" i="16"/>
  <c r="G66" i="16"/>
  <c r="F66" i="16"/>
  <c r="C66" i="16"/>
  <c r="F27" i="16"/>
  <c r="E51" i="16"/>
  <c r="E50" i="16"/>
  <c r="E45" i="16"/>
  <c r="E66" i="16" s="1"/>
  <c r="D51" i="16"/>
  <c r="D66" i="16" s="1"/>
  <c r="H206" i="16"/>
  <c r="I206" i="16"/>
  <c r="G206" i="16"/>
  <c r="E206" i="16"/>
  <c r="D206" i="16"/>
  <c r="F195" i="16"/>
  <c r="F206" i="16" s="1"/>
  <c r="J204" i="16"/>
  <c r="J205" i="16"/>
  <c r="J304" i="16" l="1"/>
  <c r="J303" i="16"/>
  <c r="J302" i="16"/>
  <c r="G280" i="16"/>
  <c r="F280" i="16"/>
  <c r="E280" i="16"/>
  <c r="D280" i="16"/>
  <c r="C280" i="16"/>
  <c r="C249" i="16"/>
  <c r="C238" i="16"/>
  <c r="J203" i="16"/>
  <c r="J202" i="16"/>
  <c r="J201" i="16"/>
  <c r="J200" i="16"/>
  <c r="J199" i="16"/>
  <c r="J198" i="16"/>
  <c r="J197" i="16"/>
  <c r="J196" i="16"/>
  <c r="J195" i="16"/>
  <c r="J194" i="16"/>
  <c r="J193" i="16"/>
  <c r="J192" i="16"/>
  <c r="J191" i="16"/>
  <c r="J190" i="16"/>
  <c r="C189" i="16"/>
  <c r="J189" i="16" s="1"/>
  <c r="J188" i="16"/>
  <c r="J187" i="16"/>
  <c r="J186" i="16"/>
  <c r="J185" i="16"/>
  <c r="J184" i="16"/>
  <c r="J183" i="16"/>
  <c r="J182" i="16"/>
  <c r="J181" i="16"/>
  <c r="J180" i="16"/>
  <c r="J179" i="16"/>
  <c r="J178" i="16"/>
  <c r="J177" i="16"/>
  <c r="J176" i="16"/>
  <c r="J175" i="16"/>
  <c r="C175" i="16"/>
  <c r="J174" i="16"/>
  <c r="J173" i="16"/>
  <c r="J172" i="16"/>
  <c r="J171" i="16"/>
  <c r="J170" i="16"/>
  <c r="J169" i="16"/>
  <c r="J168" i="16"/>
  <c r="J167" i="16"/>
  <c r="J166" i="16"/>
  <c r="J165" i="16"/>
  <c r="J164" i="16"/>
  <c r="J163" i="16"/>
  <c r="J162" i="16"/>
  <c r="J161" i="16"/>
  <c r="J160" i="16"/>
  <c r="J159" i="16"/>
  <c r="J158" i="16"/>
  <c r="J157" i="16"/>
  <c r="J156" i="16"/>
  <c r="J155" i="16"/>
  <c r="I139" i="16"/>
  <c r="H139" i="16"/>
  <c r="G139" i="16"/>
  <c r="F139" i="16"/>
  <c r="E139" i="16"/>
  <c r="D139" i="16"/>
  <c r="C139" i="16"/>
  <c r="J138" i="16"/>
  <c r="J137" i="16"/>
  <c r="J136" i="16"/>
  <c r="J135" i="16"/>
  <c r="J134" i="16"/>
  <c r="J133" i="16"/>
  <c r="J132" i="16"/>
  <c r="I126" i="16"/>
  <c r="H126" i="16"/>
  <c r="G126" i="16"/>
  <c r="F126" i="16"/>
  <c r="E126" i="16"/>
  <c r="D126" i="16"/>
  <c r="C126" i="16"/>
  <c r="J125" i="16"/>
  <c r="J124" i="16"/>
  <c r="J123" i="16"/>
  <c r="J122" i="16"/>
  <c r="J121" i="16"/>
  <c r="J120" i="16"/>
  <c r="J119" i="16"/>
  <c r="I107" i="16"/>
  <c r="H107" i="16"/>
  <c r="G107" i="16"/>
  <c r="F107" i="16"/>
  <c r="E107" i="16"/>
  <c r="D107" i="16"/>
  <c r="C107" i="16"/>
  <c r="J106" i="16"/>
  <c r="J105" i="16"/>
  <c r="J104" i="16"/>
  <c r="J103" i="16"/>
  <c r="J102" i="16"/>
  <c r="J101" i="16"/>
  <c r="J100" i="16"/>
  <c r="I91" i="16"/>
  <c r="G91" i="16"/>
  <c r="F91" i="16"/>
  <c r="E91" i="16"/>
  <c r="D91" i="16"/>
  <c r="C91" i="16"/>
  <c r="J90" i="16"/>
  <c r="J89" i="16"/>
  <c r="J88" i="16"/>
  <c r="J87" i="16"/>
  <c r="J86" i="16"/>
  <c r="J85" i="16"/>
  <c r="J84" i="16"/>
  <c r="J65" i="16"/>
  <c r="J64" i="16"/>
  <c r="J62" i="16"/>
  <c r="J61" i="16"/>
  <c r="J60" i="16"/>
  <c r="J59" i="16"/>
  <c r="J58" i="16"/>
  <c r="J57" i="16"/>
  <c r="J56" i="16"/>
  <c r="J55" i="16"/>
  <c r="J54" i="16"/>
  <c r="J53" i="16"/>
  <c r="J52" i="16"/>
  <c r="J50" i="16"/>
  <c r="J49" i="16"/>
  <c r="J48" i="16"/>
  <c r="J47" i="16"/>
  <c r="J46" i="16"/>
  <c r="J45" i="16"/>
  <c r="J44" i="16"/>
  <c r="J43" i="16"/>
  <c r="I38" i="16"/>
  <c r="H38" i="16"/>
  <c r="G38" i="16"/>
  <c r="F38" i="16"/>
  <c r="E38" i="16"/>
  <c r="D38" i="16"/>
  <c r="C38" i="16"/>
  <c r="J37" i="16"/>
  <c r="J36" i="16"/>
  <c r="J35" i="16"/>
  <c r="J34" i="16"/>
  <c r="J33" i="16"/>
  <c r="J32" i="16"/>
  <c r="J31" i="16"/>
  <c r="J30" i="16"/>
  <c r="J29" i="16"/>
  <c r="J28" i="16"/>
  <c r="J27" i="16"/>
  <c r="J26" i="16"/>
  <c r="J25" i="16"/>
  <c r="J24" i="16"/>
  <c r="J23" i="16"/>
  <c r="J22" i="16"/>
  <c r="J21" i="16"/>
  <c r="J20" i="16"/>
  <c r="J19" i="16"/>
  <c r="J18" i="16"/>
  <c r="J17" i="16"/>
  <c r="J16" i="16"/>
  <c r="J15" i="16"/>
  <c r="J14" i="16"/>
  <c r="J13" i="16"/>
  <c r="J12" i="16"/>
  <c r="J11" i="16"/>
  <c r="J10" i="16"/>
  <c r="J9" i="16"/>
  <c r="J8" i="16"/>
  <c r="J7" i="16"/>
  <c r="J6" i="16"/>
  <c r="J5" i="16"/>
  <c r="J107" i="16" l="1"/>
  <c r="C206" i="16"/>
  <c r="J206" i="16" s="1"/>
  <c r="J126" i="16"/>
  <c r="J139" i="16"/>
  <c r="F282" i="16"/>
  <c r="C67" i="16"/>
  <c r="J91" i="16"/>
  <c r="E67" i="16"/>
  <c r="I67" i="16"/>
  <c r="F67" i="16"/>
  <c r="J38" i="16"/>
  <c r="H67" i="16"/>
  <c r="D67" i="16"/>
  <c r="G67" i="16"/>
  <c r="J51" i="16"/>
  <c r="J66" i="16" s="1"/>
  <c r="D25" i="15"/>
  <c r="J67" i="16" l="1"/>
  <c r="J302" i="15"/>
  <c r="J301" i="15"/>
  <c r="J300" i="15"/>
  <c r="G278" i="15"/>
  <c r="F278" i="15"/>
  <c r="E278" i="15"/>
  <c r="D278" i="15"/>
  <c r="F280" i="15" s="1"/>
  <c r="C278" i="15"/>
  <c r="C247" i="15"/>
  <c r="C237" i="15"/>
  <c r="H204" i="15"/>
  <c r="G204" i="15"/>
  <c r="F204" i="15"/>
  <c r="E204" i="15"/>
  <c r="D204" i="15"/>
  <c r="J202" i="15"/>
  <c r="I204" i="15"/>
  <c r="J201" i="15"/>
  <c r="J200" i="15"/>
  <c r="J199" i="15"/>
  <c r="J198" i="15"/>
  <c r="J197" i="15"/>
  <c r="J196" i="15"/>
  <c r="J195" i="15"/>
  <c r="J194" i="15"/>
  <c r="J193" i="15"/>
  <c r="J192" i="15"/>
  <c r="J191" i="15"/>
  <c r="J190" i="15"/>
  <c r="J189" i="15"/>
  <c r="C188" i="15"/>
  <c r="J188" i="15" s="1"/>
  <c r="J187" i="15"/>
  <c r="J186" i="15"/>
  <c r="J185" i="15"/>
  <c r="J184" i="15"/>
  <c r="J183" i="15"/>
  <c r="J182" i="15"/>
  <c r="J181" i="15"/>
  <c r="J180" i="15"/>
  <c r="J179" i="15"/>
  <c r="J178" i="15"/>
  <c r="J177" i="15"/>
  <c r="J176" i="15"/>
  <c r="J175" i="15"/>
  <c r="J174" i="15"/>
  <c r="C174" i="15"/>
  <c r="C204" i="15" s="1"/>
  <c r="J173" i="15"/>
  <c r="J172" i="15"/>
  <c r="J171" i="15"/>
  <c r="J170" i="15"/>
  <c r="J169" i="15"/>
  <c r="J168" i="15"/>
  <c r="J167" i="15"/>
  <c r="J166" i="15"/>
  <c r="J165" i="15"/>
  <c r="J164" i="15"/>
  <c r="J163" i="15"/>
  <c r="J162" i="15"/>
  <c r="J161" i="15"/>
  <c r="J160" i="15"/>
  <c r="J159" i="15"/>
  <c r="J158" i="15"/>
  <c r="J157" i="15"/>
  <c r="J156" i="15"/>
  <c r="J155" i="15"/>
  <c r="J154" i="15"/>
  <c r="I138" i="15"/>
  <c r="H138" i="15"/>
  <c r="G138" i="15"/>
  <c r="F138" i="15"/>
  <c r="E138" i="15"/>
  <c r="D138" i="15"/>
  <c r="C138" i="15"/>
  <c r="J137" i="15"/>
  <c r="J136" i="15"/>
  <c r="J135" i="15"/>
  <c r="J134" i="15"/>
  <c r="J133" i="15"/>
  <c r="J138" i="15" s="1"/>
  <c r="J132" i="15"/>
  <c r="J131" i="15"/>
  <c r="I125" i="15"/>
  <c r="H125" i="15"/>
  <c r="G125" i="15"/>
  <c r="F125" i="15"/>
  <c r="E125" i="15"/>
  <c r="D125" i="15"/>
  <c r="C125" i="15"/>
  <c r="J124" i="15"/>
  <c r="J123" i="15"/>
  <c r="J122" i="15"/>
  <c r="J121" i="15"/>
  <c r="J120" i="15"/>
  <c r="J119" i="15"/>
  <c r="J118" i="15"/>
  <c r="J125" i="15" s="1"/>
  <c r="I106" i="15"/>
  <c r="H106" i="15"/>
  <c r="G106" i="15"/>
  <c r="F106" i="15"/>
  <c r="E106" i="15"/>
  <c r="D106" i="15"/>
  <c r="C106" i="15"/>
  <c r="J105" i="15"/>
  <c r="J104" i="15"/>
  <c r="J103" i="15"/>
  <c r="J102" i="15"/>
  <c r="J101" i="15"/>
  <c r="J100" i="15"/>
  <c r="J99" i="15"/>
  <c r="J106" i="15" s="1"/>
  <c r="I90" i="15"/>
  <c r="G90" i="15"/>
  <c r="F90" i="15"/>
  <c r="E90" i="15"/>
  <c r="D90" i="15"/>
  <c r="C90" i="15"/>
  <c r="J89" i="15"/>
  <c r="J88" i="15"/>
  <c r="J87" i="15"/>
  <c r="J86" i="15"/>
  <c r="J85" i="15"/>
  <c r="J84" i="15"/>
  <c r="J83" i="15"/>
  <c r="I65" i="15"/>
  <c r="G65" i="15"/>
  <c r="F65" i="15"/>
  <c r="D65" i="15"/>
  <c r="C65" i="15"/>
  <c r="J64" i="15"/>
  <c r="J63" i="15"/>
  <c r="J62" i="15"/>
  <c r="J61" i="15"/>
  <c r="J60" i="15"/>
  <c r="J59" i="15"/>
  <c r="J58" i="15"/>
  <c r="J57" i="15"/>
  <c r="E65" i="15"/>
  <c r="J55" i="15"/>
  <c r="J54" i="15"/>
  <c r="J53" i="15"/>
  <c r="J52" i="15"/>
  <c r="H65" i="15"/>
  <c r="J51" i="15"/>
  <c r="J50" i="15"/>
  <c r="J49" i="15"/>
  <c r="J48" i="15"/>
  <c r="J47" i="15"/>
  <c r="J46" i="15"/>
  <c r="J45" i="15"/>
  <c r="J44" i="15"/>
  <c r="J43" i="15"/>
  <c r="I38" i="15"/>
  <c r="H38" i="15"/>
  <c r="G38" i="15"/>
  <c r="E38" i="15"/>
  <c r="D38" i="15"/>
  <c r="C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F38" i="15"/>
  <c r="J12" i="15"/>
  <c r="J11" i="15"/>
  <c r="J10" i="15"/>
  <c r="J9" i="15"/>
  <c r="J8" i="15"/>
  <c r="J7" i="15"/>
  <c r="J6" i="15"/>
  <c r="J5" i="15"/>
  <c r="J90" i="15" l="1"/>
  <c r="H66" i="15"/>
  <c r="F66" i="15"/>
  <c r="G66" i="15"/>
  <c r="C66" i="15"/>
  <c r="D66" i="15"/>
  <c r="E66" i="15"/>
  <c r="I66" i="15"/>
  <c r="J38" i="15"/>
  <c r="J204" i="15"/>
  <c r="J56" i="15"/>
  <c r="J65" i="15" s="1"/>
  <c r="I202" i="14"/>
  <c r="J28" i="14"/>
  <c r="J29" i="14"/>
  <c r="I45" i="14"/>
  <c r="I50" i="14"/>
  <c r="H51" i="14"/>
  <c r="J66" i="15" l="1"/>
  <c r="F13" i="14"/>
  <c r="G278" i="14" l="1"/>
  <c r="E56" i="14"/>
  <c r="E51" i="14"/>
  <c r="J34" i="14" l="1"/>
  <c r="J35" i="14"/>
  <c r="C65" i="14" l="1"/>
  <c r="J62" i="14"/>
  <c r="J46" i="14" l="1"/>
  <c r="J302" i="14"/>
  <c r="J301" i="14"/>
  <c r="J300" i="14"/>
  <c r="F278" i="14"/>
  <c r="E278" i="14"/>
  <c r="D278" i="14"/>
  <c r="C278" i="14"/>
  <c r="C247" i="14"/>
  <c r="C237" i="14"/>
  <c r="I204" i="14"/>
  <c r="H204" i="14"/>
  <c r="G204" i="14"/>
  <c r="F204" i="14"/>
  <c r="E204" i="14"/>
  <c r="D204" i="14"/>
  <c r="J202" i="14"/>
  <c r="J201" i="14"/>
  <c r="J200" i="14"/>
  <c r="J199" i="14"/>
  <c r="J198" i="14"/>
  <c r="J197" i="14"/>
  <c r="J196" i="14"/>
  <c r="J195" i="14"/>
  <c r="J194" i="14"/>
  <c r="J193" i="14"/>
  <c r="J192" i="14"/>
  <c r="J191" i="14"/>
  <c r="J190" i="14"/>
  <c r="J189" i="14"/>
  <c r="J188" i="14"/>
  <c r="C188" i="14"/>
  <c r="J187" i="14"/>
  <c r="J186" i="14"/>
  <c r="J185" i="14"/>
  <c r="J184" i="14"/>
  <c r="J183" i="14"/>
  <c r="J182" i="14"/>
  <c r="J181" i="14"/>
  <c r="J180" i="14"/>
  <c r="J179" i="14"/>
  <c r="J178" i="14"/>
  <c r="J177" i="14"/>
  <c r="J176" i="14"/>
  <c r="J175" i="14"/>
  <c r="C174" i="14"/>
  <c r="J174" i="14" s="1"/>
  <c r="J173" i="14"/>
  <c r="J172" i="14"/>
  <c r="J171" i="14"/>
  <c r="J170" i="14"/>
  <c r="J169" i="14"/>
  <c r="J168" i="14"/>
  <c r="J167" i="14"/>
  <c r="J166" i="14"/>
  <c r="J165" i="14"/>
  <c r="J164" i="14"/>
  <c r="J163" i="14"/>
  <c r="J162" i="14"/>
  <c r="J161" i="14"/>
  <c r="J160" i="14"/>
  <c r="J159" i="14"/>
  <c r="J158" i="14"/>
  <c r="J157" i="14"/>
  <c r="J156" i="14"/>
  <c r="J155" i="14"/>
  <c r="J154" i="14"/>
  <c r="I138" i="14"/>
  <c r="H138" i="14"/>
  <c r="G138" i="14"/>
  <c r="F138" i="14"/>
  <c r="E138" i="14"/>
  <c r="D138" i="14"/>
  <c r="C138" i="14"/>
  <c r="J137" i="14"/>
  <c r="J136" i="14"/>
  <c r="J135" i="14"/>
  <c r="J134" i="14"/>
  <c r="J133" i="14"/>
  <c r="J132" i="14"/>
  <c r="J131" i="14"/>
  <c r="I125" i="14"/>
  <c r="H125" i="14"/>
  <c r="G125" i="14"/>
  <c r="F125" i="14"/>
  <c r="E125" i="14"/>
  <c r="D125" i="14"/>
  <c r="C125" i="14"/>
  <c r="J124" i="14"/>
  <c r="J123" i="14"/>
  <c r="J122" i="14"/>
  <c r="J121" i="14"/>
  <c r="J120" i="14"/>
  <c r="J119" i="14"/>
  <c r="J118" i="14"/>
  <c r="I106" i="14"/>
  <c r="H106" i="14"/>
  <c r="G106" i="14"/>
  <c r="F106" i="14"/>
  <c r="E106" i="14"/>
  <c r="D106" i="14"/>
  <c r="C106" i="14"/>
  <c r="J105" i="14"/>
  <c r="J104" i="14"/>
  <c r="J103" i="14"/>
  <c r="J102" i="14"/>
  <c r="J101" i="14"/>
  <c r="J100" i="14"/>
  <c r="J99" i="14"/>
  <c r="I90" i="14"/>
  <c r="G90" i="14"/>
  <c r="F90" i="14"/>
  <c r="E90" i="14"/>
  <c r="D90" i="14"/>
  <c r="C90" i="14"/>
  <c r="J89" i="14"/>
  <c r="J88" i="14"/>
  <c r="J87" i="14"/>
  <c r="J86" i="14"/>
  <c r="J85" i="14"/>
  <c r="J84" i="14"/>
  <c r="J83" i="14"/>
  <c r="I65" i="14"/>
  <c r="H65" i="14"/>
  <c r="G65" i="14"/>
  <c r="F65" i="14"/>
  <c r="E65" i="14"/>
  <c r="D65" i="14"/>
  <c r="J64" i="14"/>
  <c r="J63" i="14"/>
  <c r="J61" i="14"/>
  <c r="J60" i="14"/>
  <c r="J59" i="14"/>
  <c r="J58" i="14"/>
  <c r="J57" i="14"/>
  <c r="J56" i="14"/>
  <c r="J55" i="14"/>
  <c r="J54" i="14"/>
  <c r="J53" i="14"/>
  <c r="J52" i="14"/>
  <c r="J51" i="14"/>
  <c r="J50" i="14"/>
  <c r="J49" i="14"/>
  <c r="J48" i="14"/>
  <c r="J47" i="14"/>
  <c r="J45" i="14"/>
  <c r="J44" i="14"/>
  <c r="J43" i="14"/>
  <c r="I38" i="14"/>
  <c r="H38" i="14"/>
  <c r="G38" i="14"/>
  <c r="F38" i="14"/>
  <c r="E38" i="14"/>
  <c r="D38" i="14"/>
  <c r="C38" i="14"/>
  <c r="J37" i="14"/>
  <c r="J36" i="14"/>
  <c r="J33" i="14"/>
  <c r="J32" i="14"/>
  <c r="J31" i="14"/>
  <c r="J30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J5" i="14"/>
  <c r="F280" i="14" l="1"/>
  <c r="J125" i="14"/>
  <c r="J138" i="14"/>
  <c r="J90" i="14"/>
  <c r="J106" i="14"/>
  <c r="E66" i="14"/>
  <c r="D66" i="14"/>
  <c r="J65" i="14"/>
  <c r="C66" i="14"/>
  <c r="G66" i="14"/>
  <c r="H66" i="14"/>
  <c r="I66" i="14"/>
  <c r="F66" i="14"/>
  <c r="J38" i="14"/>
  <c r="C204" i="14"/>
  <c r="J204" i="14" s="1"/>
  <c r="J298" i="13"/>
  <c r="J297" i="13"/>
  <c r="J296" i="13"/>
  <c r="J66" i="14" l="1"/>
  <c r="J57" i="13"/>
  <c r="G265" i="13"/>
  <c r="J146" i="13" l="1"/>
  <c r="D27" i="13" l="1"/>
  <c r="J27" i="13" s="1"/>
  <c r="J286" i="13"/>
  <c r="J285" i="13"/>
  <c r="J284" i="13"/>
  <c r="F265" i="13"/>
  <c r="E265" i="13"/>
  <c r="D265" i="13"/>
  <c r="C265" i="13"/>
  <c r="C234" i="13"/>
  <c r="C224" i="13"/>
  <c r="I196" i="13"/>
  <c r="H196" i="13"/>
  <c r="G196" i="13"/>
  <c r="F196" i="13"/>
  <c r="E196" i="13"/>
  <c r="D196" i="13"/>
  <c r="J194" i="13"/>
  <c r="J193" i="13"/>
  <c r="J192" i="13"/>
  <c r="J191" i="13"/>
  <c r="J190" i="13"/>
  <c r="J189" i="13"/>
  <c r="J188" i="13"/>
  <c r="J187" i="13"/>
  <c r="J186" i="13"/>
  <c r="J185" i="13"/>
  <c r="C184" i="13"/>
  <c r="J184" i="13" s="1"/>
  <c r="J183" i="13"/>
  <c r="J182" i="13"/>
  <c r="J181" i="13"/>
  <c r="C180" i="13"/>
  <c r="J180" i="13" s="1"/>
  <c r="J179" i="13"/>
  <c r="J178" i="13"/>
  <c r="J177" i="13"/>
  <c r="J176" i="13"/>
  <c r="J175" i="13"/>
  <c r="J174" i="13"/>
  <c r="J173" i="13"/>
  <c r="J172" i="13"/>
  <c r="J171" i="13"/>
  <c r="J170" i="13"/>
  <c r="J169" i="13"/>
  <c r="J168" i="13"/>
  <c r="J167" i="13"/>
  <c r="C166" i="13"/>
  <c r="J165" i="13"/>
  <c r="J164" i="13"/>
  <c r="J163" i="13"/>
  <c r="J162" i="13"/>
  <c r="J161" i="13"/>
  <c r="J160" i="13"/>
  <c r="J159" i="13"/>
  <c r="J158" i="13"/>
  <c r="J157" i="13"/>
  <c r="J156" i="13"/>
  <c r="J155" i="13"/>
  <c r="J154" i="13"/>
  <c r="J153" i="13"/>
  <c r="J152" i="13"/>
  <c r="J151" i="13"/>
  <c r="J150" i="13"/>
  <c r="J149" i="13"/>
  <c r="J148" i="13"/>
  <c r="J147" i="13"/>
  <c r="I132" i="13"/>
  <c r="H132" i="13"/>
  <c r="G132" i="13"/>
  <c r="F132" i="13"/>
  <c r="E132" i="13"/>
  <c r="D132" i="13"/>
  <c r="C132" i="13"/>
  <c r="J131" i="13"/>
  <c r="J130" i="13"/>
  <c r="J129" i="13"/>
  <c r="J128" i="13"/>
  <c r="J127" i="13"/>
  <c r="J126" i="13"/>
  <c r="J125" i="13"/>
  <c r="I119" i="13"/>
  <c r="H119" i="13"/>
  <c r="G119" i="13"/>
  <c r="F119" i="13"/>
  <c r="E119" i="13"/>
  <c r="D119" i="13"/>
  <c r="C119" i="13"/>
  <c r="J118" i="13"/>
  <c r="J117" i="13"/>
  <c r="J116" i="13"/>
  <c r="J115" i="13"/>
  <c r="J114" i="13"/>
  <c r="J113" i="13"/>
  <c r="J112" i="13"/>
  <c r="I102" i="13"/>
  <c r="H102" i="13"/>
  <c r="G102" i="13"/>
  <c r="F102" i="13"/>
  <c r="E102" i="13"/>
  <c r="D102" i="13"/>
  <c r="C102" i="13"/>
  <c r="J101" i="13"/>
  <c r="J100" i="13"/>
  <c r="J99" i="13"/>
  <c r="J98" i="13"/>
  <c r="J97" i="13"/>
  <c r="J96" i="13"/>
  <c r="J95" i="13"/>
  <c r="I86" i="13"/>
  <c r="G86" i="13"/>
  <c r="F86" i="13"/>
  <c r="E86" i="13"/>
  <c r="D86" i="13"/>
  <c r="C86" i="13"/>
  <c r="J85" i="13"/>
  <c r="J84" i="13"/>
  <c r="J83" i="13"/>
  <c r="J82" i="13"/>
  <c r="J81" i="13"/>
  <c r="J80" i="13"/>
  <c r="J79" i="13"/>
  <c r="I61" i="13"/>
  <c r="H61" i="13"/>
  <c r="G61" i="13"/>
  <c r="F61" i="13"/>
  <c r="E61" i="13"/>
  <c r="D61" i="13"/>
  <c r="C61" i="13"/>
  <c r="J60" i="13"/>
  <c r="J59" i="13"/>
  <c r="J58" i="13"/>
  <c r="J56" i="13"/>
  <c r="J55" i="13"/>
  <c r="J54" i="13"/>
  <c r="J53" i="13"/>
  <c r="J52" i="13"/>
  <c r="J51" i="13"/>
  <c r="J50" i="13"/>
  <c r="J49" i="13"/>
  <c r="J48" i="13"/>
  <c r="J47" i="13"/>
  <c r="J46" i="13"/>
  <c r="J45" i="13"/>
  <c r="J44" i="13"/>
  <c r="J43" i="13"/>
  <c r="J42" i="13"/>
  <c r="J41" i="13"/>
  <c r="J40" i="13"/>
  <c r="J39" i="13"/>
  <c r="I36" i="13"/>
  <c r="H36" i="13"/>
  <c r="G36" i="13"/>
  <c r="F36" i="13"/>
  <c r="E36" i="13"/>
  <c r="D36" i="13"/>
  <c r="C36" i="13"/>
  <c r="J35" i="13"/>
  <c r="J34" i="13"/>
  <c r="J33" i="13"/>
  <c r="J32" i="13"/>
  <c r="J31" i="13"/>
  <c r="J30" i="13"/>
  <c r="J29" i="13"/>
  <c r="J28" i="13"/>
  <c r="J26" i="13"/>
  <c r="J25" i="13"/>
  <c r="J24" i="13"/>
  <c r="J23" i="13"/>
  <c r="J22" i="13"/>
  <c r="J21" i="13"/>
  <c r="J20" i="13"/>
  <c r="J19" i="13"/>
  <c r="J18" i="13"/>
  <c r="J17" i="13"/>
  <c r="J16" i="13"/>
  <c r="J15" i="13"/>
  <c r="J14" i="13"/>
  <c r="J13" i="13"/>
  <c r="J12" i="13"/>
  <c r="J11" i="13"/>
  <c r="J10" i="13"/>
  <c r="J9" i="13"/>
  <c r="J8" i="13"/>
  <c r="J7" i="13"/>
  <c r="J6" i="13"/>
  <c r="J5" i="13"/>
  <c r="I62" i="13" l="1"/>
  <c r="H62" i="13"/>
  <c r="F267" i="13"/>
  <c r="E62" i="13"/>
  <c r="D62" i="13"/>
  <c r="J102" i="13"/>
  <c r="J119" i="13"/>
  <c r="C196" i="13"/>
  <c r="J196" i="13" s="1"/>
  <c r="J132" i="13"/>
  <c r="J86" i="13"/>
  <c r="J166" i="13"/>
  <c r="J198" i="13" s="1"/>
  <c r="F62" i="13"/>
  <c r="C62" i="13"/>
  <c r="G62" i="13"/>
  <c r="J61" i="13"/>
  <c r="J36" i="13"/>
  <c r="I197" i="12"/>
  <c r="H197" i="12"/>
  <c r="G197" i="12"/>
  <c r="F197" i="12"/>
  <c r="E197" i="12"/>
  <c r="D197" i="12"/>
  <c r="J195" i="12"/>
  <c r="J52" i="12"/>
  <c r="J62" i="13" l="1"/>
  <c r="J287" i="12"/>
  <c r="J286" i="12"/>
  <c r="J285" i="12"/>
  <c r="F267" i="12"/>
  <c r="E267" i="12"/>
  <c r="D267" i="12"/>
  <c r="C267" i="12"/>
  <c r="C236" i="12"/>
  <c r="C226" i="12"/>
  <c r="J194" i="12"/>
  <c r="J193" i="12"/>
  <c r="J192" i="12"/>
  <c r="J191" i="12"/>
  <c r="J190" i="12"/>
  <c r="J189" i="12"/>
  <c r="J188" i="12"/>
  <c r="J187" i="12"/>
  <c r="J186" i="12"/>
  <c r="C185" i="12"/>
  <c r="J185" i="12" s="1"/>
  <c r="J184" i="12"/>
  <c r="J183" i="12"/>
  <c r="J182" i="12"/>
  <c r="C181" i="12"/>
  <c r="J181" i="12" s="1"/>
  <c r="J180" i="12"/>
  <c r="J179" i="12"/>
  <c r="J178" i="12"/>
  <c r="J177" i="12"/>
  <c r="J176" i="12"/>
  <c r="J175" i="12"/>
  <c r="J174" i="12"/>
  <c r="J173" i="12"/>
  <c r="J172" i="12"/>
  <c r="J171" i="12"/>
  <c r="J170" i="12"/>
  <c r="J169" i="12"/>
  <c r="J168" i="12"/>
  <c r="C167" i="12"/>
  <c r="C197" i="12" s="1"/>
  <c r="J166" i="12"/>
  <c r="J165" i="12"/>
  <c r="J164" i="12"/>
  <c r="J163" i="12"/>
  <c r="J162" i="12"/>
  <c r="J161" i="12"/>
  <c r="J160" i="12"/>
  <c r="J159" i="12"/>
  <c r="J158" i="12"/>
  <c r="J157" i="12"/>
  <c r="J156" i="12"/>
  <c r="J155" i="12"/>
  <c r="J154" i="12"/>
  <c r="J153" i="12"/>
  <c r="J152" i="12"/>
  <c r="J151" i="12"/>
  <c r="J150" i="12"/>
  <c r="J149" i="12"/>
  <c r="J148" i="12"/>
  <c r="J147" i="12"/>
  <c r="I136" i="12"/>
  <c r="H136" i="12"/>
  <c r="G136" i="12"/>
  <c r="F136" i="12"/>
  <c r="E136" i="12"/>
  <c r="D136" i="12"/>
  <c r="C136" i="12"/>
  <c r="J135" i="12"/>
  <c r="J134" i="12"/>
  <c r="J133" i="12"/>
  <c r="J132" i="12"/>
  <c r="J131" i="12"/>
  <c r="J130" i="12"/>
  <c r="J129" i="12"/>
  <c r="J136" i="12" s="1"/>
  <c r="I123" i="12"/>
  <c r="H123" i="12"/>
  <c r="G123" i="12"/>
  <c r="F123" i="12"/>
  <c r="E123" i="12"/>
  <c r="D123" i="12"/>
  <c r="C123" i="12"/>
  <c r="J122" i="12"/>
  <c r="J121" i="12"/>
  <c r="J120" i="12"/>
  <c r="J119" i="12"/>
  <c r="J118" i="12"/>
  <c r="J117" i="12"/>
  <c r="J116" i="12"/>
  <c r="I104" i="12"/>
  <c r="H104" i="12"/>
  <c r="G104" i="12"/>
  <c r="F104" i="12"/>
  <c r="E104" i="12"/>
  <c r="D104" i="12"/>
  <c r="C104" i="12"/>
  <c r="J103" i="12"/>
  <c r="J102" i="12"/>
  <c r="J101" i="12"/>
  <c r="J100" i="12"/>
  <c r="J99" i="12"/>
  <c r="J98" i="12"/>
  <c r="J97" i="12"/>
  <c r="I88" i="12"/>
  <c r="G88" i="12"/>
  <c r="F88" i="12"/>
  <c r="E88" i="12"/>
  <c r="D88" i="12"/>
  <c r="C88" i="12"/>
  <c r="J87" i="12"/>
  <c r="J86" i="12"/>
  <c r="J85" i="12"/>
  <c r="J84" i="12"/>
  <c r="J83" i="12"/>
  <c r="J82" i="12"/>
  <c r="J81" i="12"/>
  <c r="I63" i="12"/>
  <c r="H63" i="12"/>
  <c r="G63" i="12"/>
  <c r="F63" i="12"/>
  <c r="E63" i="12"/>
  <c r="D63" i="12"/>
  <c r="C63" i="12"/>
  <c r="J62" i="12"/>
  <c r="J61" i="12"/>
  <c r="J60" i="12"/>
  <c r="J59" i="12"/>
  <c r="J58" i="12"/>
  <c r="J57" i="12"/>
  <c r="J56" i="12"/>
  <c r="J55" i="12"/>
  <c r="J54" i="12"/>
  <c r="J53" i="12"/>
  <c r="J51" i="12"/>
  <c r="J50" i="12"/>
  <c r="J49" i="12"/>
  <c r="J48" i="12"/>
  <c r="J47" i="12"/>
  <c r="J46" i="12"/>
  <c r="J45" i="12"/>
  <c r="J44" i="12"/>
  <c r="J43" i="12"/>
  <c r="J42" i="12"/>
  <c r="I37" i="12"/>
  <c r="H37" i="12"/>
  <c r="G37" i="12"/>
  <c r="F37" i="12"/>
  <c r="E37" i="12"/>
  <c r="D37" i="12"/>
  <c r="C37" i="12"/>
  <c r="J36" i="12"/>
  <c r="J35" i="12"/>
  <c r="J34" i="12"/>
  <c r="J33" i="12"/>
  <c r="J32" i="12"/>
  <c r="J31" i="12"/>
  <c r="J30" i="12"/>
  <c r="J29" i="12"/>
  <c r="J28" i="12"/>
  <c r="J27" i="12"/>
  <c r="J26" i="12"/>
  <c r="J25" i="12"/>
  <c r="J24" i="12"/>
  <c r="J23" i="12"/>
  <c r="J22" i="12"/>
  <c r="J21" i="12"/>
  <c r="J20" i="12"/>
  <c r="J19" i="12"/>
  <c r="J18" i="12"/>
  <c r="J17" i="12"/>
  <c r="J16" i="12"/>
  <c r="J15" i="12"/>
  <c r="J14" i="12"/>
  <c r="J13" i="12"/>
  <c r="J12" i="12"/>
  <c r="J11" i="12"/>
  <c r="J10" i="12"/>
  <c r="J9" i="12"/>
  <c r="J8" i="12"/>
  <c r="J7" i="12"/>
  <c r="J6" i="12"/>
  <c r="J123" i="12" l="1"/>
  <c r="J88" i="12"/>
  <c r="J167" i="12"/>
  <c r="H64" i="12"/>
  <c r="D64" i="12"/>
  <c r="J104" i="12"/>
  <c r="F64" i="12"/>
  <c r="E64" i="12"/>
  <c r="I64" i="12"/>
  <c r="J63" i="12"/>
  <c r="G64" i="12"/>
  <c r="C64" i="12"/>
  <c r="J37" i="12"/>
  <c r="F269" i="12"/>
  <c r="J197" i="12"/>
  <c r="J195" i="11"/>
  <c r="J64" i="12" l="1"/>
  <c r="J194" i="11"/>
  <c r="J288" i="11" l="1"/>
  <c r="J287" i="11"/>
  <c r="J286" i="11"/>
  <c r="F268" i="11"/>
  <c r="E268" i="11"/>
  <c r="D268" i="11"/>
  <c r="C268" i="11"/>
  <c r="C237" i="11"/>
  <c r="C227" i="11"/>
  <c r="I198" i="11"/>
  <c r="H198" i="11"/>
  <c r="G198" i="11"/>
  <c r="F198" i="11"/>
  <c r="E198" i="11"/>
  <c r="D198" i="11"/>
  <c r="J193" i="11"/>
  <c r="J192" i="11"/>
  <c r="J191" i="11"/>
  <c r="J190" i="11"/>
  <c r="J189" i="11"/>
  <c r="J188" i="11"/>
  <c r="J187" i="11"/>
  <c r="C186" i="11"/>
  <c r="J186" i="11" s="1"/>
  <c r="J185" i="11"/>
  <c r="J184" i="11"/>
  <c r="J183" i="11"/>
  <c r="C182" i="11"/>
  <c r="J182" i="11" s="1"/>
  <c r="J181" i="11"/>
  <c r="J180" i="11"/>
  <c r="J179" i="11"/>
  <c r="J178" i="11"/>
  <c r="J177" i="11"/>
  <c r="J176" i="11"/>
  <c r="J175" i="11"/>
  <c r="J174" i="11"/>
  <c r="J173" i="11"/>
  <c r="J172" i="11"/>
  <c r="J171" i="11"/>
  <c r="J170" i="11"/>
  <c r="J169" i="11"/>
  <c r="C168" i="11"/>
  <c r="C198" i="11" s="1"/>
  <c r="J167" i="11"/>
  <c r="J166" i="11"/>
  <c r="J165" i="11"/>
  <c r="J164" i="11"/>
  <c r="J163" i="11"/>
  <c r="J162" i="11"/>
  <c r="J161" i="11"/>
  <c r="J160" i="11"/>
  <c r="J159" i="11"/>
  <c r="J158" i="11"/>
  <c r="J157" i="11"/>
  <c r="J156" i="11"/>
  <c r="J155" i="11"/>
  <c r="J154" i="11"/>
  <c r="J153" i="11"/>
  <c r="J152" i="11"/>
  <c r="J151" i="11"/>
  <c r="J150" i="11"/>
  <c r="J149" i="11"/>
  <c r="J148" i="11"/>
  <c r="I137" i="11"/>
  <c r="H137" i="11"/>
  <c r="G137" i="11"/>
  <c r="F137" i="11"/>
  <c r="E137" i="11"/>
  <c r="D137" i="11"/>
  <c r="C137" i="11"/>
  <c r="J136" i="11"/>
  <c r="J135" i="11"/>
  <c r="J134" i="11"/>
  <c r="J133" i="11"/>
  <c r="J132" i="11"/>
  <c r="J131" i="11"/>
  <c r="J130" i="11"/>
  <c r="I124" i="11"/>
  <c r="H124" i="11"/>
  <c r="G124" i="11"/>
  <c r="F124" i="11"/>
  <c r="E124" i="11"/>
  <c r="D124" i="11"/>
  <c r="C124" i="11"/>
  <c r="J123" i="11"/>
  <c r="J122" i="11"/>
  <c r="J121" i="11"/>
  <c r="J120" i="11"/>
  <c r="J119" i="11"/>
  <c r="J118" i="11"/>
  <c r="J117" i="11"/>
  <c r="I105" i="11"/>
  <c r="H105" i="11"/>
  <c r="G105" i="11"/>
  <c r="F105" i="11"/>
  <c r="E105" i="11"/>
  <c r="D105" i="11"/>
  <c r="C105" i="11"/>
  <c r="J104" i="11"/>
  <c r="J103" i="11"/>
  <c r="J102" i="11"/>
  <c r="J101" i="11"/>
  <c r="J100" i="11"/>
  <c r="J99" i="11"/>
  <c r="J98" i="11"/>
  <c r="I89" i="11"/>
  <c r="G89" i="11"/>
  <c r="F89" i="11"/>
  <c r="E89" i="11"/>
  <c r="D89" i="11"/>
  <c r="C89" i="11"/>
  <c r="J88" i="11"/>
  <c r="J87" i="11"/>
  <c r="J86" i="11"/>
  <c r="J85" i="11"/>
  <c r="J84" i="11"/>
  <c r="J83" i="11"/>
  <c r="J82" i="11"/>
  <c r="I62" i="11"/>
  <c r="H62" i="11"/>
  <c r="G62" i="11"/>
  <c r="F62" i="11"/>
  <c r="E62" i="11"/>
  <c r="D62" i="11"/>
  <c r="C62" i="11"/>
  <c r="J61" i="11"/>
  <c r="J60" i="11"/>
  <c r="J59" i="11"/>
  <c r="J58" i="11"/>
  <c r="J57" i="11"/>
  <c r="J56" i="11"/>
  <c r="J55" i="11"/>
  <c r="J54" i="11"/>
  <c r="J53" i="11"/>
  <c r="J52" i="11"/>
  <c r="J51" i="11"/>
  <c r="J50" i="11"/>
  <c r="J49" i="11"/>
  <c r="J48" i="11"/>
  <c r="J47" i="11"/>
  <c r="J46" i="11"/>
  <c r="J45" i="11"/>
  <c r="J44" i="11"/>
  <c r="J43" i="11"/>
  <c r="J42" i="11"/>
  <c r="I37" i="11"/>
  <c r="H37" i="11"/>
  <c r="G37" i="11"/>
  <c r="F37" i="11"/>
  <c r="E37" i="11"/>
  <c r="D37" i="11"/>
  <c r="C37" i="11"/>
  <c r="J36" i="11"/>
  <c r="J35" i="11"/>
  <c r="J34" i="11"/>
  <c r="J33" i="11"/>
  <c r="J32" i="11"/>
  <c r="J31" i="11"/>
  <c r="J30" i="11"/>
  <c r="J29" i="11"/>
  <c r="J28" i="11"/>
  <c r="J27" i="11"/>
  <c r="J26" i="11"/>
  <c r="J25" i="11"/>
  <c r="J24" i="11"/>
  <c r="J23" i="11"/>
  <c r="J22" i="11"/>
  <c r="J21" i="11"/>
  <c r="J20" i="11"/>
  <c r="J19" i="11"/>
  <c r="J18" i="11"/>
  <c r="J17" i="11"/>
  <c r="J16" i="11"/>
  <c r="J15" i="11"/>
  <c r="J14" i="11"/>
  <c r="J13" i="11"/>
  <c r="J12" i="11"/>
  <c r="J11" i="11"/>
  <c r="J10" i="11"/>
  <c r="J9" i="11"/>
  <c r="J8" i="11"/>
  <c r="J7" i="11"/>
  <c r="J6" i="11"/>
  <c r="H63" i="11" l="1"/>
  <c r="F63" i="11"/>
  <c r="F270" i="11"/>
  <c r="J124" i="11"/>
  <c r="D63" i="11"/>
  <c r="J198" i="11"/>
  <c r="J105" i="11"/>
  <c r="J89" i="11"/>
  <c r="E63" i="11"/>
  <c r="I63" i="11"/>
  <c r="G63" i="11"/>
  <c r="J62" i="11"/>
  <c r="C63" i="11"/>
  <c r="J37" i="11"/>
  <c r="J137" i="11"/>
  <c r="J168" i="11"/>
  <c r="J55" i="9"/>
  <c r="J56" i="9"/>
  <c r="J63" i="11" l="1"/>
  <c r="H26" i="9"/>
  <c r="J193" i="9" l="1"/>
  <c r="J290" i="9"/>
  <c r="J289" i="9"/>
  <c r="J288" i="9"/>
  <c r="J11" i="9" l="1"/>
  <c r="J12" i="9"/>
  <c r="E124" i="9" l="1"/>
  <c r="J131" i="9"/>
  <c r="J132" i="9"/>
  <c r="J133" i="9"/>
  <c r="J134" i="9"/>
  <c r="J135" i="9"/>
  <c r="J136" i="9"/>
  <c r="J130" i="9"/>
  <c r="I137" i="9"/>
  <c r="H137" i="9"/>
  <c r="G137" i="9"/>
  <c r="F137" i="9"/>
  <c r="E137" i="9"/>
  <c r="D137" i="9"/>
  <c r="C137" i="9"/>
  <c r="J137" i="9" l="1"/>
  <c r="F270" i="9"/>
  <c r="E270" i="9"/>
  <c r="D270" i="9"/>
  <c r="C270" i="9"/>
  <c r="C239" i="9"/>
  <c r="C229" i="9"/>
  <c r="I198" i="9"/>
  <c r="H198" i="9"/>
  <c r="G198" i="9"/>
  <c r="F198" i="9"/>
  <c r="E198" i="9"/>
  <c r="D198" i="9"/>
  <c r="J192" i="9"/>
  <c r="J191" i="9"/>
  <c r="J190" i="9"/>
  <c r="J189" i="9"/>
  <c r="J188" i="9"/>
  <c r="J187" i="9"/>
  <c r="C186" i="9"/>
  <c r="J186" i="9" s="1"/>
  <c r="J185" i="9"/>
  <c r="J184" i="9"/>
  <c r="J183" i="9"/>
  <c r="C182" i="9"/>
  <c r="J182" i="9" s="1"/>
  <c r="J181" i="9"/>
  <c r="J180" i="9"/>
  <c r="J179" i="9"/>
  <c r="J178" i="9"/>
  <c r="J177" i="9"/>
  <c r="J176" i="9"/>
  <c r="J175" i="9"/>
  <c r="J174" i="9"/>
  <c r="J173" i="9"/>
  <c r="J172" i="9"/>
  <c r="J171" i="9"/>
  <c r="J170" i="9"/>
  <c r="J169" i="9"/>
  <c r="C168" i="9"/>
  <c r="J168" i="9" s="1"/>
  <c r="J167" i="9"/>
  <c r="J166" i="9"/>
  <c r="J165" i="9"/>
  <c r="J164" i="9"/>
  <c r="J163" i="9"/>
  <c r="J162" i="9"/>
  <c r="J161" i="9"/>
  <c r="J160" i="9"/>
  <c r="J159" i="9"/>
  <c r="J158" i="9"/>
  <c r="J157" i="9"/>
  <c r="J156" i="9"/>
  <c r="J155" i="9"/>
  <c r="J154" i="9"/>
  <c r="J153" i="9"/>
  <c r="J152" i="9"/>
  <c r="J151" i="9"/>
  <c r="J150" i="9"/>
  <c r="J149" i="9"/>
  <c r="J148" i="9"/>
  <c r="I124" i="9"/>
  <c r="H124" i="9"/>
  <c r="G124" i="9"/>
  <c r="F124" i="9"/>
  <c r="D124" i="9"/>
  <c r="C124" i="9"/>
  <c r="J123" i="9"/>
  <c r="J122" i="9"/>
  <c r="J121" i="9"/>
  <c r="J120" i="9"/>
  <c r="J119" i="9"/>
  <c r="J118" i="9"/>
  <c r="J117" i="9"/>
  <c r="I105" i="9"/>
  <c r="H105" i="9"/>
  <c r="G105" i="9"/>
  <c r="F105" i="9"/>
  <c r="E105" i="9"/>
  <c r="D105" i="9"/>
  <c r="C105" i="9"/>
  <c r="J104" i="9"/>
  <c r="J103" i="9"/>
  <c r="J102" i="9"/>
  <c r="J101" i="9"/>
  <c r="J100" i="9"/>
  <c r="J99" i="9"/>
  <c r="J98" i="9"/>
  <c r="I89" i="9"/>
  <c r="G89" i="9"/>
  <c r="F89" i="9"/>
  <c r="E89" i="9"/>
  <c r="D89" i="9"/>
  <c r="C89" i="9"/>
  <c r="J88" i="9"/>
  <c r="J87" i="9"/>
  <c r="J86" i="9"/>
  <c r="J85" i="9"/>
  <c r="J84" i="9"/>
  <c r="J83" i="9"/>
  <c r="J82" i="9"/>
  <c r="I62" i="9"/>
  <c r="H62" i="9"/>
  <c r="G62" i="9"/>
  <c r="F62" i="9"/>
  <c r="E62" i="9"/>
  <c r="D62" i="9"/>
  <c r="C62" i="9"/>
  <c r="J61" i="9"/>
  <c r="J60" i="9"/>
  <c r="J59" i="9"/>
  <c r="J58" i="9"/>
  <c r="J57" i="9"/>
  <c r="J54" i="9"/>
  <c r="J53" i="9"/>
  <c r="J52" i="9"/>
  <c r="J51" i="9"/>
  <c r="J50" i="9"/>
  <c r="J49" i="9"/>
  <c r="J48" i="9"/>
  <c r="J47" i="9"/>
  <c r="J46" i="9"/>
  <c r="J45" i="9"/>
  <c r="J44" i="9"/>
  <c r="J43" i="9"/>
  <c r="J42" i="9"/>
  <c r="I37" i="9"/>
  <c r="H37" i="9"/>
  <c r="G37" i="9"/>
  <c r="F37" i="9"/>
  <c r="E37" i="9"/>
  <c r="D37" i="9"/>
  <c r="C37" i="9"/>
  <c r="J36" i="9"/>
  <c r="J35" i="9"/>
  <c r="J34" i="9"/>
  <c r="J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0" i="9"/>
  <c r="J9" i="9"/>
  <c r="J8" i="9"/>
  <c r="J7" i="9"/>
  <c r="J6" i="9"/>
  <c r="I63" i="9" l="1"/>
  <c r="G63" i="9"/>
  <c r="E63" i="9"/>
  <c r="J124" i="9"/>
  <c r="F272" i="9"/>
  <c r="J105" i="9"/>
  <c r="J89" i="9"/>
  <c r="C63" i="9"/>
  <c r="J62" i="9"/>
  <c r="F63" i="9"/>
  <c r="D63" i="9"/>
  <c r="H63" i="9"/>
  <c r="J37" i="9"/>
  <c r="C198" i="9"/>
  <c r="J198" i="9" s="1"/>
  <c r="C191" i="10"/>
  <c r="C195" i="10"/>
  <c r="C186" i="10"/>
  <c r="C177" i="10"/>
  <c r="J63" i="9" l="1"/>
  <c r="J201" i="10"/>
  <c r="I60" i="10" l="1"/>
  <c r="H60" i="10"/>
  <c r="G60" i="10"/>
  <c r="F60" i="10"/>
  <c r="E60" i="10"/>
  <c r="C60" i="10"/>
  <c r="D60" i="10"/>
  <c r="J56" i="10"/>
  <c r="H36" i="10" l="1"/>
  <c r="J187" i="10"/>
  <c r="J57" i="10" l="1"/>
  <c r="F36" i="10" l="1"/>
  <c r="J55" i="10"/>
  <c r="J49" i="10"/>
  <c r="J50" i="10"/>
  <c r="J52" i="10"/>
  <c r="J54" i="10"/>
  <c r="J47" i="10"/>
  <c r="C107" i="10"/>
  <c r="F281" i="10"/>
  <c r="E281" i="10"/>
  <c r="D281" i="10"/>
  <c r="C281" i="10"/>
  <c r="C246" i="10"/>
  <c r="C236" i="10"/>
  <c r="I207" i="10"/>
  <c r="H207" i="10"/>
  <c r="G207" i="10"/>
  <c r="F207" i="10"/>
  <c r="E207" i="10"/>
  <c r="D207" i="10"/>
  <c r="J200" i="10"/>
  <c r="J199" i="10"/>
  <c r="J198" i="10"/>
  <c r="J197" i="10"/>
  <c r="J196" i="10"/>
  <c r="J195" i="10"/>
  <c r="J194" i="10"/>
  <c r="J193" i="10"/>
  <c r="J192" i="10"/>
  <c r="J191" i="10"/>
  <c r="J190" i="10"/>
  <c r="J189" i="10"/>
  <c r="J188" i="10"/>
  <c r="J186" i="10"/>
  <c r="J185" i="10"/>
  <c r="J184" i="10"/>
  <c r="J183" i="10"/>
  <c r="J182" i="10"/>
  <c r="J181" i="10"/>
  <c r="J180" i="10"/>
  <c r="J179" i="10"/>
  <c r="J178" i="10"/>
  <c r="J177" i="10"/>
  <c r="J176" i="10"/>
  <c r="J175" i="10"/>
  <c r="J174" i="10"/>
  <c r="J173" i="10"/>
  <c r="J172" i="10"/>
  <c r="J171" i="10"/>
  <c r="J170" i="10"/>
  <c r="J169" i="10"/>
  <c r="J168" i="10"/>
  <c r="J167" i="10"/>
  <c r="J166" i="10"/>
  <c r="J165" i="10"/>
  <c r="J164" i="10"/>
  <c r="J163" i="10"/>
  <c r="J162" i="10"/>
  <c r="J161" i="10"/>
  <c r="J160" i="10"/>
  <c r="J159" i="10"/>
  <c r="J158" i="10"/>
  <c r="C207" i="10"/>
  <c r="I134" i="10"/>
  <c r="H134" i="10"/>
  <c r="G134" i="10"/>
  <c r="F134" i="10"/>
  <c r="E134" i="10"/>
  <c r="D134" i="10"/>
  <c r="C134" i="10"/>
  <c r="J133" i="10"/>
  <c r="J132" i="10"/>
  <c r="J131" i="10"/>
  <c r="J130" i="10"/>
  <c r="J129" i="10"/>
  <c r="J128" i="10"/>
  <c r="J127" i="10"/>
  <c r="I107" i="10"/>
  <c r="H107" i="10"/>
  <c r="G107" i="10"/>
  <c r="F107" i="10"/>
  <c r="E107" i="10"/>
  <c r="D107" i="10"/>
  <c r="J106" i="10"/>
  <c r="J105" i="10"/>
  <c r="J104" i="10"/>
  <c r="J103" i="10"/>
  <c r="J102" i="10"/>
  <c r="J101" i="10"/>
  <c r="J100" i="10"/>
  <c r="I91" i="10"/>
  <c r="G91" i="10"/>
  <c r="F91" i="10"/>
  <c r="E91" i="10"/>
  <c r="D91" i="10"/>
  <c r="C91" i="10"/>
  <c r="J90" i="10"/>
  <c r="J89" i="10"/>
  <c r="J88" i="10"/>
  <c r="J87" i="10"/>
  <c r="J86" i="10"/>
  <c r="J85" i="10"/>
  <c r="J84" i="10"/>
  <c r="J59" i="10"/>
  <c r="J58" i="10"/>
  <c r="J53" i="10"/>
  <c r="J51" i="10"/>
  <c r="J48" i="10"/>
  <c r="J46" i="10"/>
  <c r="J45" i="10"/>
  <c r="J44" i="10"/>
  <c r="J43" i="10"/>
  <c r="J42" i="10"/>
  <c r="J41" i="10"/>
  <c r="I36" i="10"/>
  <c r="G36" i="10"/>
  <c r="E36" i="10"/>
  <c r="E61" i="10" s="1"/>
  <c r="D36" i="10"/>
  <c r="C36" i="10"/>
  <c r="C61" i="10" s="1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H199" i="8"/>
  <c r="J196" i="8"/>
  <c r="J197" i="8"/>
  <c r="J198" i="8"/>
  <c r="I199" i="8"/>
  <c r="G199" i="8"/>
  <c r="F199" i="8"/>
  <c r="E199" i="8"/>
  <c r="D199" i="8"/>
  <c r="I104" i="8"/>
  <c r="H104" i="8"/>
  <c r="G104" i="8"/>
  <c r="I50" i="8"/>
  <c r="H50" i="8"/>
  <c r="G50" i="8"/>
  <c r="F50" i="8"/>
  <c r="E50" i="8"/>
  <c r="D50" i="8"/>
  <c r="J44" i="8"/>
  <c r="J45" i="8"/>
  <c r="J46" i="8"/>
  <c r="J47" i="8"/>
  <c r="G88" i="8"/>
  <c r="F271" i="8"/>
  <c r="E271" i="8"/>
  <c r="D271" i="8"/>
  <c r="C271" i="8"/>
  <c r="C236" i="8"/>
  <c r="C226" i="8"/>
  <c r="J194" i="8"/>
  <c r="J195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50" i="8"/>
  <c r="J151" i="8"/>
  <c r="J152" i="8"/>
  <c r="J153" i="8"/>
  <c r="J154" i="8"/>
  <c r="J155" i="8"/>
  <c r="J156" i="8"/>
  <c r="J157" i="8"/>
  <c r="J158" i="8"/>
  <c r="J159" i="8"/>
  <c r="J160" i="8"/>
  <c r="C149" i="8"/>
  <c r="C199" i="8" s="1"/>
  <c r="J122" i="8"/>
  <c r="D123" i="8"/>
  <c r="D104" i="8"/>
  <c r="J103" i="8"/>
  <c r="I123" i="8"/>
  <c r="H123" i="8"/>
  <c r="G123" i="8"/>
  <c r="F123" i="8"/>
  <c r="E123" i="8"/>
  <c r="C123" i="8"/>
  <c r="J121" i="8"/>
  <c r="J120" i="8"/>
  <c r="J119" i="8"/>
  <c r="J118" i="8"/>
  <c r="J117" i="8"/>
  <c r="J116" i="8"/>
  <c r="F104" i="8"/>
  <c r="E104" i="8"/>
  <c r="C104" i="8"/>
  <c r="J102" i="8"/>
  <c r="J101" i="8"/>
  <c r="J100" i="8"/>
  <c r="J99" i="8"/>
  <c r="J98" i="8"/>
  <c r="J97" i="8"/>
  <c r="I88" i="8"/>
  <c r="F88" i="8"/>
  <c r="E88" i="8"/>
  <c r="D88" i="8"/>
  <c r="C88" i="8"/>
  <c r="J87" i="8"/>
  <c r="J86" i="8"/>
  <c r="J85" i="8"/>
  <c r="J84" i="8"/>
  <c r="J83" i="8"/>
  <c r="J82" i="8"/>
  <c r="J81" i="8"/>
  <c r="J49" i="8"/>
  <c r="J48" i="8"/>
  <c r="J43" i="8"/>
  <c r="J42" i="8"/>
  <c r="J41" i="8"/>
  <c r="J40" i="8"/>
  <c r="J39" i="8"/>
  <c r="I35" i="8"/>
  <c r="H35" i="8"/>
  <c r="H51" i="8" s="1"/>
  <c r="G35" i="8"/>
  <c r="G51" i="8" s="1"/>
  <c r="F35" i="8"/>
  <c r="E35" i="8"/>
  <c r="D35" i="8"/>
  <c r="C35" i="8"/>
  <c r="C51" i="8" s="1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J5" i="8"/>
  <c r="F90" i="6"/>
  <c r="D118" i="7"/>
  <c r="I118" i="7"/>
  <c r="C118" i="7"/>
  <c r="H118" i="7"/>
  <c r="I83" i="7"/>
  <c r="E83" i="7"/>
  <c r="C83" i="7"/>
  <c r="J82" i="7"/>
  <c r="E479" i="5"/>
  <c r="I35" i="7"/>
  <c r="H35" i="7"/>
  <c r="J32" i="7"/>
  <c r="J33" i="7"/>
  <c r="J34" i="7"/>
  <c r="J60" i="10" l="1"/>
  <c r="J207" i="10"/>
  <c r="I61" i="10"/>
  <c r="H61" i="10"/>
  <c r="G61" i="10"/>
  <c r="J36" i="10"/>
  <c r="F61" i="10"/>
  <c r="F283" i="10"/>
  <c r="D61" i="10"/>
  <c r="J134" i="10"/>
  <c r="J107" i="10"/>
  <c r="J91" i="10"/>
  <c r="J157" i="10"/>
  <c r="J149" i="8"/>
  <c r="J199" i="8" s="1"/>
  <c r="F273" i="8"/>
  <c r="J50" i="8"/>
  <c r="I51" i="8"/>
  <c r="J123" i="8"/>
  <c r="J104" i="8"/>
  <c r="E51" i="8"/>
  <c r="D51" i="8"/>
  <c r="J88" i="8"/>
  <c r="F51" i="8"/>
  <c r="J35" i="8"/>
  <c r="G518" i="5"/>
  <c r="F519" i="5"/>
  <c r="E519" i="5"/>
  <c r="D519" i="5"/>
  <c r="C519" i="5"/>
  <c r="F467" i="5"/>
  <c r="E467" i="5"/>
  <c r="D467" i="5"/>
  <c r="G466" i="5"/>
  <c r="C467" i="5"/>
  <c r="G517" i="5"/>
  <c r="G516" i="5"/>
  <c r="G515" i="5"/>
  <c r="G514" i="5"/>
  <c r="G513" i="5"/>
  <c r="G512" i="5"/>
  <c r="G511" i="5"/>
  <c r="G510" i="5"/>
  <c r="G509" i="5"/>
  <c r="G508" i="5"/>
  <c r="G507" i="5"/>
  <c r="G506" i="5"/>
  <c r="G505" i="5"/>
  <c r="G504" i="5"/>
  <c r="G503" i="5"/>
  <c r="G502" i="5"/>
  <c r="G501" i="5"/>
  <c r="G500" i="5"/>
  <c r="G499" i="5"/>
  <c r="G498" i="5"/>
  <c r="G497" i="5"/>
  <c r="G496" i="5"/>
  <c r="G495" i="5"/>
  <c r="G494" i="5"/>
  <c r="G493" i="5"/>
  <c r="G492" i="5"/>
  <c r="G491" i="5"/>
  <c r="G490" i="5"/>
  <c r="G489" i="5"/>
  <c r="G488" i="5"/>
  <c r="G487" i="5"/>
  <c r="G486" i="5"/>
  <c r="G485" i="5"/>
  <c r="G484" i="5"/>
  <c r="G483" i="5"/>
  <c r="G482" i="5"/>
  <c r="G481" i="5"/>
  <c r="G480" i="5"/>
  <c r="G479" i="5"/>
  <c r="G478" i="5"/>
  <c r="G477" i="5"/>
  <c r="G476" i="5"/>
  <c r="G475" i="5"/>
  <c r="G474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118" i="7"/>
  <c r="E35" i="7"/>
  <c r="F250" i="6"/>
  <c r="E250" i="6"/>
  <c r="D250" i="6"/>
  <c r="C250" i="6"/>
  <c r="J249" i="6"/>
  <c r="J248" i="6"/>
  <c r="J247" i="6"/>
  <c r="J246" i="6"/>
  <c r="J245" i="6"/>
  <c r="J244" i="6"/>
  <c r="J250" i="6" s="1"/>
  <c r="F232" i="6"/>
  <c r="E232" i="6"/>
  <c r="D232" i="6"/>
  <c r="C232" i="6"/>
  <c r="J230" i="6"/>
  <c r="J229" i="6"/>
  <c r="J228" i="6"/>
  <c r="J227" i="6"/>
  <c r="J232" i="6" s="1"/>
  <c r="J226" i="6"/>
  <c r="J225" i="6"/>
  <c r="F216" i="6"/>
  <c r="E216" i="6"/>
  <c r="D216" i="6"/>
  <c r="C216" i="6"/>
  <c r="J214" i="6"/>
  <c r="J213" i="6"/>
  <c r="J212" i="6"/>
  <c r="J211" i="6"/>
  <c r="J210" i="6"/>
  <c r="J209" i="6"/>
  <c r="I179" i="6"/>
  <c r="H179" i="6"/>
  <c r="G179" i="6"/>
  <c r="F179" i="6"/>
  <c r="E179" i="6"/>
  <c r="C179" i="6"/>
  <c r="J178" i="6"/>
  <c r="J177" i="6"/>
  <c r="J176" i="6"/>
  <c r="J175" i="6"/>
  <c r="J174" i="6"/>
  <c r="J173" i="6"/>
  <c r="J172" i="6"/>
  <c r="J179" i="6" s="1"/>
  <c r="I168" i="6"/>
  <c r="H168" i="6"/>
  <c r="G168" i="6"/>
  <c r="G180" i="6" s="1"/>
  <c r="F168" i="6"/>
  <c r="F180" i="6" s="1"/>
  <c r="E168" i="6"/>
  <c r="D168" i="6"/>
  <c r="D180" i="6" s="1"/>
  <c r="C168" i="6"/>
  <c r="C180" i="6" s="1"/>
  <c r="J167" i="6"/>
  <c r="J166" i="6"/>
  <c r="J165" i="6"/>
  <c r="J164" i="6"/>
  <c r="J163" i="6"/>
  <c r="J162" i="6"/>
  <c r="J161" i="6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68" i="6" s="1"/>
  <c r="J180" i="6" s="1"/>
  <c r="E180" i="6" l="1"/>
  <c r="I180" i="6"/>
  <c r="H180" i="6"/>
  <c r="J216" i="6"/>
  <c r="J61" i="10"/>
  <c r="J51" i="8"/>
  <c r="G519" i="5"/>
  <c r="G467" i="5"/>
  <c r="C123" i="6"/>
  <c r="C113" i="6"/>
  <c r="G412" i="5" l="1"/>
  <c r="F414" i="5" l="1"/>
  <c r="E414" i="5"/>
  <c r="D414" i="5"/>
  <c r="C414" i="5"/>
  <c r="G413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414" i="5" l="1"/>
  <c r="G35" i="7"/>
  <c r="F361" i="5"/>
  <c r="E361" i="5"/>
  <c r="D361" i="5"/>
  <c r="G350" i="5"/>
  <c r="G351" i="5"/>
  <c r="G352" i="5"/>
  <c r="G358" i="5"/>
  <c r="C361" i="5"/>
  <c r="G360" i="5"/>
  <c r="G359" i="5"/>
  <c r="G357" i="5"/>
  <c r="G356" i="5"/>
  <c r="G355" i="5"/>
  <c r="G354" i="5"/>
  <c r="G353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D35" i="7"/>
  <c r="C35" i="7"/>
  <c r="J112" i="7"/>
  <c r="J113" i="7"/>
  <c r="J114" i="7"/>
  <c r="J115" i="7"/>
  <c r="J116" i="7"/>
  <c r="J111" i="7"/>
  <c r="F118" i="7"/>
  <c r="E118" i="7"/>
  <c r="J93" i="7"/>
  <c r="J94" i="7"/>
  <c r="J95" i="7"/>
  <c r="J96" i="7"/>
  <c r="J97" i="7"/>
  <c r="J92" i="7"/>
  <c r="E46" i="7"/>
  <c r="J18" i="7"/>
  <c r="D50" i="5"/>
  <c r="C50" i="5"/>
  <c r="J45" i="7"/>
  <c r="J44" i="7"/>
  <c r="D99" i="7"/>
  <c r="F99" i="7"/>
  <c r="E99" i="7"/>
  <c r="C99" i="7"/>
  <c r="J77" i="7"/>
  <c r="J78" i="7"/>
  <c r="J79" i="7"/>
  <c r="J80" i="7"/>
  <c r="J81" i="7"/>
  <c r="J76" i="7"/>
  <c r="J83" i="7" s="1"/>
  <c r="F83" i="7"/>
  <c r="D83" i="7"/>
  <c r="I46" i="7"/>
  <c r="H46" i="7"/>
  <c r="G46" i="7"/>
  <c r="F46" i="7"/>
  <c r="J43" i="7"/>
  <c r="J42" i="7"/>
  <c r="J41" i="7"/>
  <c r="J40" i="7"/>
  <c r="J39" i="7"/>
  <c r="F35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E246" i="5"/>
  <c r="E247" i="5"/>
  <c r="E248" i="5"/>
  <c r="E249" i="5"/>
  <c r="E245" i="5"/>
  <c r="E244" i="5"/>
  <c r="E243" i="5"/>
  <c r="E236" i="5"/>
  <c r="E232" i="5"/>
  <c r="E233" i="5"/>
  <c r="E234" i="5"/>
  <c r="E235" i="5"/>
  <c r="E237" i="5"/>
  <c r="E238" i="5"/>
  <c r="E239" i="5"/>
  <c r="E240" i="5"/>
  <c r="E241" i="5"/>
  <c r="E242" i="5"/>
  <c r="E231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13" i="5"/>
  <c r="F258" i="5"/>
  <c r="D258" i="5"/>
  <c r="C258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11" i="5"/>
  <c r="F174" i="5"/>
  <c r="E174" i="5"/>
  <c r="D174" i="5"/>
  <c r="C174" i="5"/>
  <c r="G173" i="5"/>
  <c r="G169" i="5"/>
  <c r="G170" i="5"/>
  <c r="G171" i="5"/>
  <c r="G172" i="5"/>
  <c r="G168" i="5"/>
  <c r="F155" i="5"/>
  <c r="E155" i="5"/>
  <c r="D155" i="5"/>
  <c r="C155" i="5"/>
  <c r="G154" i="5"/>
  <c r="G153" i="5"/>
  <c r="G152" i="5"/>
  <c r="G24" i="6"/>
  <c r="G18" i="6"/>
  <c r="G33" i="6" s="1"/>
  <c r="F102" i="5"/>
  <c r="G101" i="5"/>
  <c r="C102" i="5"/>
  <c r="G100" i="5"/>
  <c r="G98" i="5"/>
  <c r="G99" i="5"/>
  <c r="D102" i="5"/>
  <c r="G97" i="5"/>
  <c r="E102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E90" i="6"/>
  <c r="D90" i="6"/>
  <c r="C90" i="6"/>
  <c r="J31" i="6"/>
  <c r="J30" i="6"/>
  <c r="J27" i="6"/>
  <c r="J23" i="6"/>
  <c r="J19" i="6"/>
  <c r="J15" i="6"/>
  <c r="J11" i="6"/>
  <c r="J7" i="6"/>
  <c r="I46" i="6"/>
  <c r="H46" i="6"/>
  <c r="G46" i="6"/>
  <c r="F46" i="6"/>
  <c r="E46" i="6"/>
  <c r="D46" i="6"/>
  <c r="C46" i="6"/>
  <c r="J45" i="6"/>
  <c r="J44" i="6"/>
  <c r="J43" i="6"/>
  <c r="J42" i="6"/>
  <c r="J41" i="6"/>
  <c r="I33" i="6"/>
  <c r="H33" i="6"/>
  <c r="F33" i="6"/>
  <c r="E33" i="6"/>
  <c r="D33" i="6"/>
  <c r="C33" i="6"/>
  <c r="J32" i="6"/>
  <c r="J29" i="6"/>
  <c r="J28" i="6"/>
  <c r="J26" i="6"/>
  <c r="J25" i="6"/>
  <c r="J24" i="6"/>
  <c r="J22" i="6"/>
  <c r="J21" i="6"/>
  <c r="J20" i="6"/>
  <c r="J18" i="6"/>
  <c r="J17" i="6"/>
  <c r="J16" i="6"/>
  <c r="J14" i="6"/>
  <c r="J13" i="6"/>
  <c r="J12" i="6"/>
  <c r="J10" i="6"/>
  <c r="J9" i="6"/>
  <c r="J8" i="6"/>
  <c r="J6" i="6"/>
  <c r="J5" i="6"/>
  <c r="I34" i="4"/>
  <c r="J32" i="4"/>
  <c r="J31" i="4"/>
  <c r="G45" i="5"/>
  <c r="F50" i="5"/>
  <c r="J29" i="4"/>
  <c r="H34" i="4"/>
  <c r="E50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D150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14" i="4"/>
  <c r="C150" i="4"/>
  <c r="G150" i="4" s="1"/>
  <c r="F89" i="4"/>
  <c r="E89" i="4"/>
  <c r="D89" i="4"/>
  <c r="C89" i="4"/>
  <c r="G34" i="4"/>
  <c r="J28" i="4"/>
  <c r="J30" i="4"/>
  <c r="F152" i="3"/>
  <c r="E152" i="3"/>
  <c r="D152" i="3"/>
  <c r="C152" i="3"/>
  <c r="F34" i="4"/>
  <c r="E34" i="4"/>
  <c r="D34" i="4"/>
  <c r="J42" i="4"/>
  <c r="J43" i="4"/>
  <c r="J44" i="4"/>
  <c r="J45" i="4"/>
  <c r="J4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33" i="4"/>
  <c r="J7" i="4"/>
  <c r="J8" i="4"/>
  <c r="J9" i="4"/>
  <c r="J10" i="4"/>
  <c r="J11" i="4"/>
  <c r="J6" i="4"/>
  <c r="C46" i="4"/>
  <c r="C34" i="4"/>
  <c r="C47" i="4" s="1"/>
  <c r="I46" i="4"/>
  <c r="H46" i="4"/>
  <c r="G46" i="4"/>
  <c r="F46" i="4"/>
  <c r="E46" i="4"/>
  <c r="D46" i="4"/>
  <c r="C92" i="3"/>
  <c r="H99" i="3"/>
  <c r="G99" i="3"/>
  <c r="F99" i="3"/>
  <c r="E99" i="3"/>
  <c r="D99" i="3"/>
  <c r="C99" i="3"/>
  <c r="I98" i="3"/>
  <c r="I97" i="3"/>
  <c r="I96" i="3"/>
  <c r="I95" i="3"/>
  <c r="I94" i="3"/>
  <c r="H92" i="3"/>
  <c r="G92" i="3"/>
  <c r="F92" i="3"/>
  <c r="E92" i="3"/>
  <c r="D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H32" i="3"/>
  <c r="H25" i="3"/>
  <c r="I19" i="3"/>
  <c r="G32" i="3"/>
  <c r="G24" i="3"/>
  <c r="G25" i="3" s="1"/>
  <c r="F32" i="3"/>
  <c r="E32" i="3"/>
  <c r="D32" i="3"/>
  <c r="C32" i="3"/>
  <c r="I31" i="3"/>
  <c r="I30" i="3"/>
  <c r="I29" i="3"/>
  <c r="I28" i="3"/>
  <c r="I27" i="3"/>
  <c r="F25" i="3"/>
  <c r="E25" i="3"/>
  <c r="D25" i="3"/>
  <c r="C25" i="3"/>
  <c r="I23" i="3"/>
  <c r="I22" i="3"/>
  <c r="I21" i="3"/>
  <c r="I20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63" i="2"/>
  <c r="I64" i="2"/>
  <c r="I65" i="2"/>
  <c r="I66" i="2"/>
  <c r="I6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42" i="2"/>
  <c r="G67" i="2"/>
  <c r="H59" i="2"/>
  <c r="I59" i="2" s="1"/>
  <c r="G60" i="2"/>
  <c r="F67" i="2"/>
  <c r="E67" i="2"/>
  <c r="D67" i="2"/>
  <c r="F60" i="2"/>
  <c r="E60" i="2"/>
  <c r="E68" i="2" s="1"/>
  <c r="D60" i="2"/>
  <c r="K10" i="2"/>
  <c r="K11" i="2" s="1"/>
  <c r="K12" i="2" s="1"/>
  <c r="K13" i="2" s="1"/>
  <c r="K14" i="2" s="1"/>
  <c r="K15" i="2" s="1"/>
  <c r="K16" i="2" s="1"/>
  <c r="K17" i="2" s="1"/>
  <c r="K18" i="2" s="1"/>
  <c r="J10" i="2"/>
  <c r="J11" i="2" s="1"/>
  <c r="J12" i="2" s="1"/>
  <c r="L9" i="2"/>
  <c r="G43" i="1"/>
  <c r="G44" i="1" s="1"/>
  <c r="G45" i="1" s="1"/>
  <c r="G46" i="1" s="1"/>
  <c r="G10" i="1"/>
  <c r="G11" i="1" s="1"/>
  <c r="G12" i="1" s="1"/>
  <c r="G13" i="1" s="1"/>
  <c r="G47" i="6" l="1"/>
  <c r="J118" i="7"/>
  <c r="J99" i="7"/>
  <c r="J46" i="7"/>
  <c r="J35" i="7"/>
  <c r="G100" i="3"/>
  <c r="C100" i="3"/>
  <c r="E33" i="3"/>
  <c r="D47" i="4"/>
  <c r="H47" i="7"/>
  <c r="G361" i="5"/>
  <c r="E47" i="7"/>
  <c r="G174" i="5"/>
  <c r="D47" i="7"/>
  <c r="C47" i="7"/>
  <c r="I47" i="7"/>
  <c r="F47" i="7"/>
  <c r="G47" i="7"/>
  <c r="E258" i="5"/>
  <c r="G258" i="5"/>
  <c r="G155" i="5"/>
  <c r="H47" i="6"/>
  <c r="G102" i="5"/>
  <c r="F47" i="6"/>
  <c r="D47" i="6"/>
  <c r="C47" i="6"/>
  <c r="J46" i="6"/>
  <c r="F92" i="6"/>
  <c r="J33" i="6"/>
  <c r="E47" i="6"/>
  <c r="I47" i="6"/>
  <c r="J34" i="4"/>
  <c r="F91" i="4"/>
  <c r="H47" i="4"/>
  <c r="G50" i="5"/>
  <c r="H33" i="3"/>
  <c r="F33" i="3"/>
  <c r="F100" i="3"/>
  <c r="E100" i="3"/>
  <c r="J46" i="4"/>
  <c r="F47" i="4"/>
  <c r="G47" i="4"/>
  <c r="E47" i="4"/>
  <c r="I47" i="4"/>
  <c r="D33" i="3"/>
  <c r="G33" i="3"/>
  <c r="C33" i="3"/>
  <c r="I92" i="3"/>
  <c r="I99" i="3"/>
  <c r="D100" i="3"/>
  <c r="H100" i="3"/>
  <c r="I24" i="3"/>
  <c r="I25" i="3" s="1"/>
  <c r="I32" i="3"/>
  <c r="F68" i="2"/>
  <c r="I60" i="2"/>
  <c r="D68" i="2"/>
  <c r="H67" i="2"/>
  <c r="I67" i="2" s="1"/>
  <c r="H60" i="2"/>
  <c r="G68" i="2"/>
  <c r="L12" i="2"/>
  <c r="J13" i="2"/>
  <c r="L11" i="2"/>
  <c r="L10" i="2"/>
  <c r="J47" i="7" l="1"/>
  <c r="J47" i="6"/>
  <c r="J47" i="4"/>
  <c r="I100" i="3"/>
  <c r="I33" i="3"/>
  <c r="I68" i="2"/>
  <c r="H68" i="2"/>
  <c r="L13" i="2"/>
  <c r="J14" i="2"/>
  <c r="L14" i="2" l="1"/>
  <c r="J15" i="2"/>
  <c r="J16" i="2" l="1"/>
  <c r="L15" i="2"/>
  <c r="L16" i="2" l="1"/>
  <c r="J17" i="2"/>
  <c r="J18" i="2" l="1"/>
  <c r="L18" i="2" s="1"/>
  <c r="L17" i="2"/>
</calcChain>
</file>

<file path=xl/sharedStrings.xml><?xml version="1.0" encoding="utf-8"?>
<sst xmlns="http://schemas.openxmlformats.org/spreadsheetml/2006/main" count="3405" uniqueCount="485">
  <si>
    <t>APON NIBASH</t>
  </si>
  <si>
    <t xml:space="preserve">DATTA PARA </t>
  </si>
  <si>
    <t>TONGI, GAZIPUR</t>
  </si>
  <si>
    <t>FOR THE  MONTH FEBRUARY-2015</t>
  </si>
  <si>
    <t>Date</t>
  </si>
  <si>
    <t>Voucher No.</t>
  </si>
  <si>
    <t>Particulars</t>
  </si>
  <si>
    <t>Code No.</t>
  </si>
  <si>
    <t>Payment (Tk)</t>
  </si>
  <si>
    <t>Receipts (Tk)</t>
  </si>
  <si>
    <t>Balance (Tk)</t>
  </si>
  <si>
    <t>Opening Balance</t>
  </si>
  <si>
    <t>Cash Withdrawal</t>
  </si>
  <si>
    <t>C</t>
  </si>
  <si>
    <t>Entertainment</t>
  </si>
  <si>
    <t>Rent</t>
  </si>
  <si>
    <t>Stationary</t>
  </si>
  <si>
    <t>BANK BOOK (National Credit &amp; Commerce Bank Ltd.)</t>
  </si>
  <si>
    <t>PETTY CASH BOOK</t>
  </si>
  <si>
    <t>CODE LIST OF ACCOUNTS</t>
  </si>
  <si>
    <t>APAN NIBASH</t>
  </si>
  <si>
    <t>SL #</t>
  </si>
  <si>
    <t>Share Capital</t>
  </si>
  <si>
    <t>Investment/Loan</t>
  </si>
  <si>
    <t>Profit</t>
  </si>
  <si>
    <t>Miscellaneouse</t>
  </si>
  <si>
    <t>Sale of Scrape &amp; Wastes</t>
  </si>
  <si>
    <t xml:space="preserve"> Receipts from Sale Process</t>
  </si>
  <si>
    <t>Booking Money</t>
  </si>
  <si>
    <t>Installment</t>
  </si>
  <si>
    <t>Down Paymens</t>
  </si>
  <si>
    <t>Utilities (Gas, Water,Electricity)</t>
  </si>
  <si>
    <t>Advertisement</t>
  </si>
  <si>
    <t>Printing &amp; Stationeries</t>
  </si>
  <si>
    <t>Entertaiment</t>
  </si>
  <si>
    <t>Honorarium/Salaries</t>
  </si>
  <si>
    <t>Legal fees and Consultant fees</t>
  </si>
  <si>
    <t>Cement</t>
  </si>
  <si>
    <t>Sylhet Sand</t>
  </si>
  <si>
    <t>Local sand</t>
  </si>
  <si>
    <t>Stone</t>
  </si>
  <si>
    <t>stone chips</t>
  </si>
  <si>
    <t>Brick</t>
  </si>
  <si>
    <t>Brick chips</t>
  </si>
  <si>
    <t>Carraying</t>
  </si>
  <si>
    <t>Phone, email, internet &amp; Courier exp.</t>
  </si>
  <si>
    <t>Conveyance</t>
  </si>
  <si>
    <t>Conveyance/Travelling</t>
  </si>
  <si>
    <t>Rod/Steel Purchase</t>
  </si>
  <si>
    <t>Labour Bill payments</t>
  </si>
  <si>
    <t>Construction Expensess (301-320)</t>
  </si>
  <si>
    <t>Payments/General Expensess (201-220)</t>
  </si>
  <si>
    <t>Receipts/Income (101-120)</t>
  </si>
  <si>
    <t>Requirement :</t>
  </si>
  <si>
    <t xml:space="preserve">Party ledger </t>
  </si>
  <si>
    <t xml:space="preserve">Ledger Book for Flat holder </t>
  </si>
  <si>
    <t>General ledger  (101-120) &amp; (201-210)</t>
  </si>
  <si>
    <t>Ledger for Construction Exp. (301-320)</t>
  </si>
  <si>
    <t>Receipts and Payments Accounts (Maintain in computer)</t>
  </si>
  <si>
    <t>Bank Accounts (Maintain in computer)</t>
  </si>
  <si>
    <t>Petty Cash  (Maintain in computer)</t>
  </si>
  <si>
    <t>Manual</t>
  </si>
  <si>
    <t>Receipt and Payment Accounts</t>
  </si>
  <si>
    <t>Apon Nibash</t>
  </si>
  <si>
    <t>Datta Para, Tongi, Gazipur</t>
  </si>
  <si>
    <t>For the month of February-2015</t>
  </si>
  <si>
    <t>Voucher#</t>
  </si>
  <si>
    <t>Code#</t>
  </si>
  <si>
    <t>Cash</t>
  </si>
  <si>
    <t>Bank</t>
  </si>
  <si>
    <t>Total (Tk)</t>
  </si>
  <si>
    <t>Balance (Taka)</t>
  </si>
  <si>
    <t>Payments (Taka)</t>
  </si>
  <si>
    <t>Receipts (Taka)</t>
  </si>
  <si>
    <t>Withdrawal from Bank</t>
  </si>
  <si>
    <t>Honorarium</t>
  </si>
  <si>
    <t>Md. Khorshed Alam</t>
  </si>
  <si>
    <t>Ms. Shahana Akter</t>
  </si>
  <si>
    <t>Phone Bill</t>
  </si>
  <si>
    <t>L/F #</t>
  </si>
  <si>
    <t>Apan Nibash</t>
  </si>
  <si>
    <t>Sub-Total (Tk)</t>
  </si>
  <si>
    <t xml:space="preserve">Mixture &amp; Vivrator Machine </t>
  </si>
  <si>
    <t>Preliminary Expenses</t>
  </si>
  <si>
    <t>Prepartion of pilling (Expenses)</t>
  </si>
  <si>
    <t>Rod</t>
  </si>
  <si>
    <t>Deep Tubwell</t>
  </si>
  <si>
    <t xml:space="preserve">Land Registration </t>
  </si>
  <si>
    <t>Decoration , Furniture, Computer</t>
  </si>
  <si>
    <t>Advertisement, Printing &amp; Stationary</t>
  </si>
  <si>
    <t>Flat Sale commission</t>
  </si>
  <si>
    <t>Management Expensess</t>
  </si>
  <si>
    <t>Office Rent</t>
  </si>
  <si>
    <t xml:space="preserve">                                         Sub- Total (Taka)</t>
  </si>
  <si>
    <t xml:space="preserve">                          Grand Total (Taka)</t>
  </si>
  <si>
    <t>Consultant Fess and payments</t>
  </si>
  <si>
    <t>Sand (Shylet and local)</t>
  </si>
  <si>
    <t>Remuneration /Salary &amp; Bonus</t>
  </si>
  <si>
    <t>Telephone/Internet Bill</t>
  </si>
  <si>
    <t xml:space="preserve">Cement </t>
  </si>
  <si>
    <t>915 Bags</t>
  </si>
  <si>
    <t>15 Tons</t>
  </si>
  <si>
    <t>14 Trucks</t>
  </si>
  <si>
    <t>465 Bags</t>
  </si>
  <si>
    <t>10 Tons</t>
  </si>
  <si>
    <t>2 Trucks</t>
  </si>
  <si>
    <t>Sabuj-Pilling Bill (Final) (51-70)</t>
  </si>
  <si>
    <t>Advance (Jahan Engrs.) Pilling (1-50)</t>
  </si>
  <si>
    <t>Gas Connection -1st Raiser</t>
  </si>
  <si>
    <t xml:space="preserve">Rod with Carraying </t>
  </si>
  <si>
    <t xml:space="preserve">Carraying  </t>
  </si>
  <si>
    <t>Stone With Carraying (Green Touch)</t>
  </si>
  <si>
    <t>400 Bags</t>
  </si>
  <si>
    <t>6 trucks</t>
  </si>
  <si>
    <t>Periodic Expenditure statement (January to May-2015)</t>
  </si>
  <si>
    <t>8 trucks</t>
  </si>
  <si>
    <t>Sabuj-Pilling Bill (Final) (51-110)</t>
  </si>
  <si>
    <t>12 Tons</t>
  </si>
  <si>
    <t>950 Bags</t>
  </si>
  <si>
    <t>Electricity Expensess</t>
  </si>
  <si>
    <t>Miscellaneouse (Base/ Short Column Dalai)</t>
  </si>
  <si>
    <t>Periodic Expenditure statement (January to June-2015)</t>
  </si>
  <si>
    <t>Periodic Expenditure statement (July to December-2015)</t>
  </si>
  <si>
    <t>Sabuj-Pilling Bill (Final) (111-143)</t>
  </si>
  <si>
    <t>380 Bags</t>
  </si>
  <si>
    <t>6 Tons</t>
  </si>
  <si>
    <t>4 Trucks</t>
  </si>
  <si>
    <t>Donation &amp; Rent to MI Chowdhury</t>
  </si>
  <si>
    <t>Construction related Materils &amp; Labour</t>
  </si>
  <si>
    <t>Brick Purchase &amp; Broken</t>
  </si>
  <si>
    <t>Lal Mia (contractor)</t>
  </si>
  <si>
    <t>Jan-June/15</t>
  </si>
  <si>
    <t>Periodic Expenditure statement (January to December-2015)</t>
  </si>
  <si>
    <t>12.5 Tons</t>
  </si>
  <si>
    <t>250Bags</t>
  </si>
  <si>
    <t>Sept.15</t>
  </si>
  <si>
    <t>3 trucks</t>
  </si>
  <si>
    <t>290 Bags</t>
  </si>
  <si>
    <t>Total (Taka)</t>
  </si>
  <si>
    <t>Income statement</t>
  </si>
  <si>
    <t>Bank -Profit</t>
  </si>
  <si>
    <t>sale (Taka)</t>
  </si>
  <si>
    <t>Charges (Tk.)</t>
  </si>
  <si>
    <t>Upto-January/2015</t>
  </si>
  <si>
    <t>Febryary'2015</t>
  </si>
  <si>
    <t>March'2015</t>
  </si>
  <si>
    <t>April'2015</t>
  </si>
  <si>
    <t>May'2015</t>
  </si>
  <si>
    <t>June'2015</t>
  </si>
  <si>
    <t>July'2015</t>
  </si>
  <si>
    <t>August'2015</t>
  </si>
  <si>
    <t>September'2015</t>
  </si>
  <si>
    <t>FDR-Profit</t>
  </si>
  <si>
    <t>October'2015</t>
  </si>
  <si>
    <t>November'2015</t>
  </si>
  <si>
    <t>December'2015</t>
  </si>
  <si>
    <t>Sl #</t>
  </si>
  <si>
    <t>Profit paid on Loan</t>
  </si>
  <si>
    <t>Holding Tax (2014-15 &amp; 2015-16)</t>
  </si>
  <si>
    <t>200 Bags</t>
  </si>
  <si>
    <t>13 tons</t>
  </si>
  <si>
    <t>1 truck</t>
  </si>
  <si>
    <t>List of Flatholders</t>
  </si>
  <si>
    <t>Sl#</t>
  </si>
  <si>
    <t>Name</t>
  </si>
  <si>
    <t>Upto Sept/15</t>
  </si>
  <si>
    <t>Sub-Total</t>
  </si>
  <si>
    <t>Mr. Md. Sadar Uddin</t>
  </si>
  <si>
    <t>Mr. Md. Shah Alam Bhuiyan</t>
  </si>
  <si>
    <t>Mr. Md. Abdul Khaleque</t>
  </si>
  <si>
    <t>Mr. Md. Monsur Ahmed</t>
  </si>
  <si>
    <t>Mr. Md. Khorshed Alam</t>
  </si>
  <si>
    <t>Mr. Md. Ruhul Amin</t>
  </si>
  <si>
    <t>Mr. M.A. Maedge</t>
  </si>
  <si>
    <t>Mr. Md. Monirul Hoque</t>
  </si>
  <si>
    <t>Mr. Md. Shahjahan Firoj</t>
  </si>
  <si>
    <t>Ms. Rokeya Sultana (Sumi)</t>
  </si>
  <si>
    <t>Mr. Md. Siraj Uddin</t>
  </si>
  <si>
    <t>Mr. Md. Mukul Hossain</t>
  </si>
  <si>
    <t>Mr. Md. Mosharekul Anser (Babul)</t>
  </si>
  <si>
    <t>Mr. Dr. Md. Jahangir Alam</t>
  </si>
  <si>
    <t>Mr. Dr. S.M. Shamsul Hoque</t>
  </si>
  <si>
    <t>Mr. Md. Shamsuddin</t>
  </si>
  <si>
    <t>Mr. Mawlana Abdul Latif</t>
  </si>
  <si>
    <t>Mr. Md. Asaduzzaman Bacchu</t>
  </si>
  <si>
    <t>Mr. Md. Bashirul Islam</t>
  </si>
  <si>
    <t>Mr. Md. Mataher Hossain (Engr.)</t>
  </si>
  <si>
    <t>Ms. Shahana Akhter</t>
  </si>
  <si>
    <t>Mr. Md. Monir Hossain Patwary</t>
  </si>
  <si>
    <t>Mr. Md. Ramjan Mollah</t>
  </si>
  <si>
    <t>Ms. Josna Begum</t>
  </si>
  <si>
    <t>Mr. Md. Mostafa Chowdhury</t>
  </si>
  <si>
    <t>Mr. Md. Shahid Ullah</t>
  </si>
  <si>
    <t>Mr. Md. Sazzad Hossain (Engr.)</t>
  </si>
  <si>
    <t>Ms. Zakia Sultana &amp; Abu Rassel</t>
  </si>
  <si>
    <t>Mr. Md. Abdur Rahman</t>
  </si>
  <si>
    <t>Mr. Abdul Kuddus Mridah</t>
  </si>
  <si>
    <t>Mr. Md. Salzar Rahman</t>
  </si>
  <si>
    <t>Mr. Md. Nurul Islam</t>
  </si>
  <si>
    <t>Apan Nibash Foundation</t>
  </si>
  <si>
    <t>Ms. Halima Khatun</t>
  </si>
  <si>
    <t>Mr. Abdul Based</t>
  </si>
  <si>
    <t>Fund (Baina Registration)</t>
  </si>
  <si>
    <t>Net Income (Taka)</t>
  </si>
  <si>
    <t>Md. Mahbubur Rahman</t>
  </si>
  <si>
    <t>Md. Jakir Hossain</t>
  </si>
  <si>
    <t>350 Bags</t>
  </si>
  <si>
    <t>1 Trucks</t>
  </si>
  <si>
    <t>Md. Shariful Islam</t>
  </si>
  <si>
    <t>Lift Shutter Making</t>
  </si>
  <si>
    <t>Sand Filling labour cost</t>
  </si>
  <si>
    <t>100 Bags</t>
  </si>
  <si>
    <t>7 Tons</t>
  </si>
  <si>
    <t>2 Truck</t>
  </si>
  <si>
    <t>Periodic Expenditure statement (January to June-2016)</t>
  </si>
  <si>
    <t>Jan-Dec/15</t>
  </si>
  <si>
    <t>Salary &amp; Allowances (50000+5000)</t>
  </si>
  <si>
    <t>Carraying  (Jalal)</t>
  </si>
  <si>
    <t>40 Bags</t>
  </si>
  <si>
    <t>4 Truck</t>
  </si>
  <si>
    <t>3000 Pcs.</t>
  </si>
  <si>
    <t>Upto Dec/15</t>
  </si>
  <si>
    <t>Md. Jakir Hossain (Short Loan)</t>
  </si>
  <si>
    <t>Apon Kallyan Somitee Ltd. (Loan)</t>
  </si>
  <si>
    <t>3 Trucks</t>
  </si>
  <si>
    <t>14000 Pcs.</t>
  </si>
  <si>
    <t>500 Bags</t>
  </si>
  <si>
    <t>60 bags</t>
  </si>
  <si>
    <t>7 tons</t>
  </si>
  <si>
    <t>21000 pcs</t>
  </si>
  <si>
    <t>Md. Monir Hossain</t>
  </si>
  <si>
    <t>Md. Monir Hossain (Short Loan)</t>
  </si>
  <si>
    <t>450 Bags</t>
  </si>
  <si>
    <t>1.61 Tons</t>
  </si>
  <si>
    <t>1 Truck</t>
  </si>
  <si>
    <t>6000+Adla 2 T</t>
  </si>
  <si>
    <t>Md. Sanah Ullah</t>
  </si>
  <si>
    <t>7 -Tons</t>
  </si>
  <si>
    <t>Md. Billal Hossain</t>
  </si>
  <si>
    <t>110 Bag</t>
  </si>
  <si>
    <t>As on 30th June-2016</t>
  </si>
  <si>
    <t>Md. Abdul Based</t>
  </si>
  <si>
    <t>Investment (short term) received</t>
  </si>
  <si>
    <t>Balance Sheet</t>
  </si>
  <si>
    <t>A</t>
  </si>
  <si>
    <t>Capital &amp; liabilities</t>
  </si>
  <si>
    <t>Advance against Flat Sale</t>
  </si>
  <si>
    <t>Short Loan</t>
  </si>
  <si>
    <t xml:space="preserve">Total </t>
  </si>
  <si>
    <t>Taka</t>
  </si>
  <si>
    <t>B</t>
  </si>
  <si>
    <t>Assets</t>
  </si>
  <si>
    <t>Land</t>
  </si>
  <si>
    <t>Land Development Cost</t>
  </si>
  <si>
    <t>Cash in Hand</t>
  </si>
  <si>
    <t>Prfit from Bank &amp; sale of wastage</t>
  </si>
  <si>
    <t>List for Members of Apan Kallayan Somitee</t>
  </si>
  <si>
    <t>Savings</t>
  </si>
  <si>
    <t>Adjusted</t>
  </si>
  <si>
    <t>Balance</t>
  </si>
  <si>
    <t>Md. Abul Kalam Bhuiyan</t>
  </si>
  <si>
    <t>capital</t>
  </si>
  <si>
    <t>Remarks</t>
  </si>
  <si>
    <t>Md. Abul Hossain Billal</t>
  </si>
  <si>
    <t>Ms. Hosne-Ara Begum</t>
  </si>
  <si>
    <t>Md. Ataur Rahman</t>
  </si>
  <si>
    <t>Md. Anwar Ullah</t>
  </si>
  <si>
    <t>Apan Kallyan Somitee</t>
  </si>
  <si>
    <t>Mr. Md. Sadar Uddin (128)</t>
  </si>
  <si>
    <t>Mr. Abdul Based/Moniruzzaman</t>
  </si>
  <si>
    <t>Upto June/16</t>
  </si>
  <si>
    <t>Investment (short term) received A/C</t>
  </si>
  <si>
    <t>Investment (short term) Payments A/C</t>
  </si>
  <si>
    <t>Md. Ahsan Ullah</t>
  </si>
  <si>
    <t>As on 30th September-2016</t>
  </si>
  <si>
    <t>Short Loan Refund</t>
  </si>
  <si>
    <t>425 Bags</t>
  </si>
  <si>
    <t>Jan/15-Dec/16</t>
  </si>
  <si>
    <t>Periodic Expenditure statement (January-2015 to Jun-2017)</t>
  </si>
  <si>
    <t xml:space="preserve">Statement of Closing Balance for Investment (short term) </t>
  </si>
  <si>
    <t>Payments</t>
  </si>
  <si>
    <t>Receipts</t>
  </si>
  <si>
    <t>Meeting Expenses</t>
  </si>
  <si>
    <t>Upto Dec/16</t>
  </si>
  <si>
    <t>Mr. Md. Nurul Islam (Biman</t>
  </si>
  <si>
    <t>Md.Ahsan Ullah</t>
  </si>
  <si>
    <t>Md. Abul Bashar (Mem)</t>
  </si>
  <si>
    <t>Md. Nurul Islam (Mem)</t>
  </si>
  <si>
    <t>Md. Hasmot Ali</t>
  </si>
  <si>
    <t>Md. Anisur Rahman</t>
  </si>
  <si>
    <t>Cash at Bank (NCCBL)</t>
  </si>
  <si>
    <t>AS on 31/03/2017</t>
  </si>
  <si>
    <t>Upto Mar/17</t>
  </si>
  <si>
    <t>As on 30/06/2017</t>
  </si>
  <si>
    <t>Md. Awlad Hossain</t>
  </si>
  <si>
    <t>As on 30th June-2017</t>
  </si>
  <si>
    <t>FDR (Al- Arafah Bank Ltd.)</t>
  </si>
  <si>
    <t>Cash at Bank (Al -Arafah)</t>
  </si>
  <si>
    <t>Periodic Expenditure statement (January-2015 to Dec-2017)</t>
  </si>
  <si>
    <t>Jan/15-Dec/17</t>
  </si>
  <si>
    <t>Upto Jun/17</t>
  </si>
  <si>
    <t>Upto Sep/17</t>
  </si>
  <si>
    <t>As on 30th September-2017</t>
  </si>
  <si>
    <t>Md. Moien Uddin</t>
  </si>
  <si>
    <t>As on 31st  December-2017</t>
  </si>
  <si>
    <t>23/A</t>
  </si>
  <si>
    <t>Md. Bipul  (2nd - contractor)</t>
  </si>
  <si>
    <t>As on 31/12/2017</t>
  </si>
  <si>
    <t>Mr. Md. Nurul Islam (Biman)</t>
  </si>
  <si>
    <t>Md. Mahbubur Rahman (Short Loan)</t>
  </si>
  <si>
    <t>Cash at Bank (FSIBL), Closed</t>
  </si>
  <si>
    <t>Periodic Expenditure statement (January-2015 to June-2018)</t>
  </si>
  <si>
    <t>Upto Dec/17</t>
  </si>
  <si>
    <t>Sub-Total (tk)</t>
  </si>
  <si>
    <t>Flat Booking money refund</t>
  </si>
  <si>
    <t>Ms. Shajeda Begum ( New Buyer)</t>
  </si>
  <si>
    <t>Md. Abul Kalam (New Buyer)</t>
  </si>
  <si>
    <t>As on 28/02/2018</t>
  </si>
  <si>
    <t>January to Dec-2017</t>
  </si>
  <si>
    <t>January'2018</t>
  </si>
  <si>
    <t>Febryary'2018</t>
  </si>
  <si>
    <t>March'2018</t>
  </si>
  <si>
    <t>April'2018</t>
  </si>
  <si>
    <t>May'2018</t>
  </si>
  <si>
    <t>June'2018</t>
  </si>
  <si>
    <t>August'2018</t>
  </si>
  <si>
    <t>September'2018</t>
  </si>
  <si>
    <t>October'2018</t>
  </si>
  <si>
    <t>November'2018</t>
  </si>
  <si>
    <t>December'2018 (Al-Arafah Islami Bank)</t>
  </si>
  <si>
    <t>July'2018</t>
  </si>
  <si>
    <t>Land Registration with legal fees</t>
  </si>
  <si>
    <t>Sanitary Materials</t>
  </si>
  <si>
    <t>Electric Materials</t>
  </si>
  <si>
    <t>Window &amp; Grill</t>
  </si>
  <si>
    <t>Doors &amp; others</t>
  </si>
  <si>
    <t xml:space="preserve">Deep Tubwell </t>
  </si>
  <si>
    <t>Management/Materials Expensess</t>
  </si>
  <si>
    <t>Ms. Mitu Begum ( New Buyer)</t>
  </si>
  <si>
    <t>As on 30/06/2018</t>
  </si>
  <si>
    <t>As on 30th June-2018</t>
  </si>
  <si>
    <t xml:space="preserve">Share Capital Returned to Mr. Shahjahan </t>
  </si>
  <si>
    <t>Profit retuned on Capital to Mr. Shahjahan</t>
  </si>
  <si>
    <t>Opening Share Capital (Taka)</t>
  </si>
  <si>
    <t>Net Share capital will be after adjustment (Taka)</t>
  </si>
  <si>
    <t>Jan/15-Jun/18</t>
  </si>
  <si>
    <t>Upto June/18</t>
  </si>
  <si>
    <t>Doors, Chawkath &amp; others</t>
  </si>
  <si>
    <t>Md. Kawser (Advance for Sanitary works)</t>
  </si>
  <si>
    <t>Gas Line Materials</t>
  </si>
  <si>
    <t>Md. Eakub (Advance for Grill works)</t>
  </si>
  <si>
    <t>Window &amp; Grill (Materials purchase)</t>
  </si>
  <si>
    <t>Tiles Purchase</t>
  </si>
  <si>
    <t>Tiles Fitting Ali Ahmed (Bill-1,2)/Advance</t>
  </si>
  <si>
    <t>Colour/Paint purchase</t>
  </si>
  <si>
    <t>Thai Glass &amp; Fittings (Mr. Akhter M. Eakub)</t>
  </si>
  <si>
    <t>Md. Abdur Rahin (Advance for Painting)</t>
  </si>
  <si>
    <t>Periodic Expenditure statement (January-2015 to December-2018)</t>
  </si>
  <si>
    <t>As on 31/12/2018</t>
  </si>
  <si>
    <t>As on 31st  December-2018</t>
  </si>
  <si>
    <t>Most. Mitu Begum (Utility &amp; common cost)</t>
  </si>
  <si>
    <t>Jan/15-Dec/18</t>
  </si>
  <si>
    <t>Upto Dec/18</t>
  </si>
  <si>
    <t>January 2015 to Dec-2018</t>
  </si>
  <si>
    <t>January'2019</t>
  </si>
  <si>
    <t>Febryary'2019</t>
  </si>
  <si>
    <t>March'2019</t>
  </si>
  <si>
    <t>April'2019</t>
  </si>
  <si>
    <t>May'2019</t>
  </si>
  <si>
    <t>June'2019</t>
  </si>
  <si>
    <t>July'2019</t>
  </si>
  <si>
    <t>August'2019</t>
  </si>
  <si>
    <t>September'2019</t>
  </si>
  <si>
    <t>October'2019</t>
  </si>
  <si>
    <t>November'2019</t>
  </si>
  <si>
    <t>December'2019 (Al-Arafah Islami Bank)</t>
  </si>
  <si>
    <t>Sanitary/Plumbing Materials</t>
  </si>
  <si>
    <t>Apan Nibash (Society Fund)</t>
  </si>
  <si>
    <t>Mr. Md. Abdur Rahman (Sales )</t>
  </si>
  <si>
    <t>Apon Nibash Society Fund</t>
  </si>
  <si>
    <t>Apon Nibash Foundation Fund</t>
  </si>
  <si>
    <t>Mr. Rafiqul Islam (Advance for Piling)</t>
  </si>
  <si>
    <t>Md. Abdur Rahim (Advance for Painting)</t>
  </si>
  <si>
    <t>Mr. Md. Abdur Rahman-2 (Member )</t>
  </si>
  <si>
    <t>Md. Abul Kalam-2 (Member)</t>
  </si>
  <si>
    <t>Service Charge Account</t>
  </si>
  <si>
    <t>Ms. Milu Begum</t>
  </si>
  <si>
    <t>Service Charge Income</t>
  </si>
  <si>
    <t>As on 30/06/2019</t>
  </si>
  <si>
    <t>As on 30th June-2019</t>
  </si>
  <si>
    <t>25A</t>
  </si>
  <si>
    <t>Advance to Monir for Chawkath</t>
  </si>
  <si>
    <t>Periodic Expenditure statement (January-2015 to June-2019)</t>
  </si>
  <si>
    <t>Periodic Expenditure statement (January-2015 to December-2019)</t>
  </si>
  <si>
    <t>Jan/15-Jun/19</t>
  </si>
  <si>
    <t>Jan/15-June/19</t>
  </si>
  <si>
    <t>Short Loan( A)-Apon kallyan Somity</t>
  </si>
  <si>
    <t xml:space="preserve">(B) Apon Nibash Society Fund </t>
  </si>
  <si>
    <t xml:space="preserve">(C.) Apon Nibash Foundation Fund </t>
  </si>
  <si>
    <t>Md. Rezaul Karim (New share)</t>
  </si>
  <si>
    <t>Cash at Bank (NCCBL) A/C close</t>
  </si>
  <si>
    <t>Md. Ali Azahar Khondoker</t>
  </si>
  <si>
    <t>As on 31/12/2019</t>
  </si>
  <si>
    <t>As on 31st  December-2019</t>
  </si>
  <si>
    <t>Periodic Expenditure statement (January-2015 to June-2020)</t>
  </si>
  <si>
    <t>Jan/15-Dec/19</t>
  </si>
  <si>
    <t>January 2015 to Dec-2019</t>
  </si>
  <si>
    <t>January'2020</t>
  </si>
  <si>
    <t>Febryary'2020</t>
  </si>
  <si>
    <t>March'2020</t>
  </si>
  <si>
    <t>April'2020</t>
  </si>
  <si>
    <t>May'2020</t>
  </si>
  <si>
    <t>June'2020</t>
  </si>
  <si>
    <t>July'2020</t>
  </si>
  <si>
    <t>August'2020</t>
  </si>
  <si>
    <t>September'2020</t>
  </si>
  <si>
    <t>October'2020</t>
  </si>
  <si>
    <t>November'2020</t>
  </si>
  <si>
    <t>December'2020 (Al-Arafah Islami Bank)</t>
  </si>
  <si>
    <t>Adv. Farhad/Ibrahim Khalil (Tiles Fittings)</t>
  </si>
  <si>
    <t>As on 31/05/2020</t>
  </si>
  <si>
    <t>As on 31st May-2020</t>
  </si>
  <si>
    <t>Md. Shekh Farid</t>
  </si>
  <si>
    <t>Periodic Expenditure statement (January-2015 to December-2020)</t>
  </si>
  <si>
    <t>Jan/15-June/20</t>
  </si>
  <si>
    <t>Rent (Tk.)</t>
  </si>
  <si>
    <t xml:space="preserve">(C) Apon Nibash Foundation Fund </t>
  </si>
  <si>
    <t xml:space="preserve">(D) Apon Nibash Utility Fund </t>
  </si>
  <si>
    <t>Advance: M. Murad Hossain-HT Line</t>
  </si>
  <si>
    <t>Apon Nibash Utility Fund</t>
  </si>
  <si>
    <t>As on 31/12/2020</t>
  </si>
  <si>
    <t>As on 31st December-2020</t>
  </si>
  <si>
    <t>Mr. Md. Kamruzzaman (Mostafa Chowdhury)</t>
  </si>
  <si>
    <t>Ms.  Halima Khatun Tuhin (M. N. Islam)</t>
  </si>
  <si>
    <t>Periodic Expenditure statement (January-2015 to June-2021)</t>
  </si>
  <si>
    <t>Jan/15-Dec/20</t>
  </si>
  <si>
    <t>January 2015 to Dec-2020</t>
  </si>
  <si>
    <t>January'2021</t>
  </si>
  <si>
    <t>Febryary'2021</t>
  </si>
  <si>
    <t>March'2021</t>
  </si>
  <si>
    <t>April'2021</t>
  </si>
  <si>
    <t>May'2021</t>
  </si>
  <si>
    <t>June'2021</t>
  </si>
  <si>
    <t>July'2021</t>
  </si>
  <si>
    <t>August'2021</t>
  </si>
  <si>
    <t>September'2021</t>
  </si>
  <si>
    <t>October'2021</t>
  </si>
  <si>
    <t>November'2021</t>
  </si>
  <si>
    <t>December'2021 (Al-Arafah Islami Bank)</t>
  </si>
  <si>
    <t xml:space="preserve">Salary &amp; Allowances </t>
  </si>
  <si>
    <t>Mr. Md.Kamruzzaman (Mostafa Chow)</t>
  </si>
  <si>
    <t>MS. Halima Khatun (N. Islam (Mem)</t>
  </si>
  <si>
    <t>Materials-(Contactor-03)</t>
  </si>
  <si>
    <t>Mistri &amp; Labour-(Contactor-03)</t>
  </si>
  <si>
    <t>28/A</t>
  </si>
  <si>
    <t>29/A</t>
  </si>
  <si>
    <t>41/A</t>
  </si>
  <si>
    <t>As on 30/06/2021</t>
  </si>
  <si>
    <t>As on 30th June-2021</t>
  </si>
  <si>
    <t>Jan/15-June/21</t>
  </si>
  <si>
    <t>Periodic Expenditure statement (January-2015 to December-2021)</t>
  </si>
  <si>
    <t>As on 31/08/2021</t>
  </si>
  <si>
    <t>As on 31st  August-2021</t>
  </si>
  <si>
    <t>Periodic Expenditure statement (January-2015 to June-2022)</t>
  </si>
  <si>
    <t>Jan/15-Dec/21</t>
  </si>
  <si>
    <t>As on 30/06/2022</t>
  </si>
  <si>
    <t>January'2022</t>
  </si>
  <si>
    <t>Febryary'2022</t>
  </si>
  <si>
    <t>March'2022</t>
  </si>
  <si>
    <t>April'2022</t>
  </si>
  <si>
    <t>May'2022</t>
  </si>
  <si>
    <t>June'2022</t>
  </si>
  <si>
    <t>July'2022</t>
  </si>
  <si>
    <t>August'2022</t>
  </si>
  <si>
    <t>September'2022</t>
  </si>
  <si>
    <t>October'2022</t>
  </si>
  <si>
    <t>November'2022</t>
  </si>
  <si>
    <t>December'2022 (Al-Arafah Islami Bank)</t>
  </si>
  <si>
    <t>As on 30th June-2022</t>
  </si>
  <si>
    <t>January 2015 to June-2022</t>
  </si>
  <si>
    <t>Noor Mohammed</t>
  </si>
  <si>
    <t>Benajir Ahmed</t>
  </si>
  <si>
    <t>Mr. Abdul Based (Md. Al-Amin)</t>
  </si>
  <si>
    <t>Advance-Md. Faruq Ahmed (Sub-Station)</t>
  </si>
  <si>
    <t>Investment Given to M. Shahidullah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</si>
</sst>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32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1" xfId="0" quotePrefix="1" applyBorder="1"/>
    <xf numFmtId="0" fontId="4" fillId="0" borderId="1" xfId="0" applyFont="1" applyBorder="1"/>
    <xf numFmtId="0" fontId="5" fillId="0" borderId="1" xfId="0" applyFont="1" applyBorder="1"/>
    <xf numFmtId="0" fontId="6" fillId="0" borderId="0" xfId="0" applyFont="1"/>
    <xf numFmtId="0" fontId="7" fillId="0" borderId="0" xfId="0" applyFont="1"/>
    <xf numFmtId="0" fontId="1" fillId="0" borderId="0" xfId="0" applyFont="1"/>
    <xf numFmtId="17" fontId="0" fillId="0" borderId="1" xfId="0" applyNumberFormat="1" applyBorder="1"/>
    <xf numFmtId="164" fontId="0" fillId="0" borderId="1" xfId="1" applyNumberFormat="1" applyFont="1" applyBorder="1"/>
    <xf numFmtId="164" fontId="1" fillId="0" borderId="1" xfId="1" applyNumberFormat="1" applyFont="1" applyBorder="1"/>
    <xf numFmtId="164" fontId="4" fillId="0" borderId="1" xfId="0" applyNumberFormat="1" applyFont="1" applyBorder="1"/>
    <xf numFmtId="0" fontId="5" fillId="0" borderId="1" xfId="0" applyFont="1" applyFill="1" applyBorder="1"/>
    <xf numFmtId="17" fontId="0" fillId="0" borderId="0" xfId="0" applyNumberForma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4" fillId="0" borderId="0" xfId="0" applyFont="1" applyBorder="1"/>
    <xf numFmtId="164" fontId="4" fillId="0" borderId="0" xfId="0" applyNumberFormat="1" applyFont="1" applyBorder="1"/>
    <xf numFmtId="0" fontId="0" fillId="0" borderId="0" xfId="0" applyFill="1" applyBorder="1"/>
    <xf numFmtId="164" fontId="0" fillId="0" borderId="0" xfId="0" applyNumberFormat="1"/>
    <xf numFmtId="164" fontId="0" fillId="0" borderId="1" xfId="1" applyNumberFormat="1" applyFont="1" applyFill="1" applyBorder="1"/>
    <xf numFmtId="164" fontId="1" fillId="0" borderId="1" xfId="1" applyNumberFormat="1" applyFont="1" applyFill="1" applyBorder="1"/>
    <xf numFmtId="17" fontId="1" fillId="0" borderId="2" xfId="0" applyNumberFormat="1" applyFont="1" applyBorder="1"/>
    <xf numFmtId="17" fontId="1" fillId="0" borderId="6" xfId="0" applyNumberFormat="1" applyFont="1" applyBorder="1"/>
    <xf numFmtId="0" fontId="0" fillId="0" borderId="7" xfId="0" applyFill="1" applyBorder="1"/>
    <xf numFmtId="0" fontId="0" fillId="0" borderId="8" xfId="0" applyFill="1" applyBorder="1"/>
    <xf numFmtId="0" fontId="0" fillId="0" borderId="9" xfId="0" applyFill="1" applyBorder="1"/>
    <xf numFmtId="17" fontId="0" fillId="0" borderId="0" xfId="0" applyNumberFormat="1" applyBorder="1"/>
    <xf numFmtId="17" fontId="1" fillId="0" borderId="3" xfId="0" applyNumberFormat="1" applyFont="1" applyBorder="1"/>
    <xf numFmtId="17" fontId="1" fillId="0" borderId="7" xfId="0" applyNumberFormat="1" applyFont="1" applyBorder="1"/>
    <xf numFmtId="17" fontId="0" fillId="0" borderId="3" xfId="0" applyNumberFormat="1" applyBorder="1"/>
    <xf numFmtId="0" fontId="0" fillId="0" borderId="1" xfId="0" applyFill="1" applyBorder="1"/>
    <xf numFmtId="0" fontId="0" fillId="0" borderId="10" xfId="0" applyBorder="1"/>
    <xf numFmtId="0" fontId="0" fillId="0" borderId="11" xfId="0" applyBorder="1"/>
    <xf numFmtId="0" fontId="0" fillId="0" borderId="11" xfId="0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6" xfId="0" applyFill="1" applyBorder="1"/>
    <xf numFmtId="0" fontId="0" fillId="0" borderId="17" xfId="0" applyBorder="1"/>
    <xf numFmtId="17" fontId="0" fillId="0" borderId="7" xfId="0" applyNumberForma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17" fontId="1" fillId="0" borderId="1" xfId="0" applyNumberFormat="1" applyFont="1" applyBorder="1"/>
    <xf numFmtId="0" fontId="4" fillId="0" borderId="0" xfId="0" applyFont="1"/>
    <xf numFmtId="0" fontId="4" fillId="0" borderId="1" xfId="0" applyFont="1" applyBorder="1" applyAlignment="1">
      <alignment horizontal="center"/>
    </xf>
    <xf numFmtId="164" fontId="5" fillId="0" borderId="1" xfId="1" applyNumberFormat="1" applyFont="1" applyBorder="1"/>
    <xf numFmtId="164" fontId="4" fillId="0" borderId="1" xfId="1" applyNumberFormat="1" applyFont="1" applyBorder="1"/>
    <xf numFmtId="0" fontId="1" fillId="0" borderId="1" xfId="0" applyFont="1" applyBorder="1" applyAlignment="1">
      <alignment horizontal="right"/>
    </xf>
    <xf numFmtId="0" fontId="9" fillId="0" borderId="1" xfId="0" applyFont="1" applyBorder="1"/>
    <xf numFmtId="17" fontId="1" fillId="0" borderId="0" xfId="0" applyNumberFormat="1" applyFont="1" applyBorder="1"/>
    <xf numFmtId="0" fontId="1" fillId="0" borderId="0" xfId="0" applyFont="1" applyBorder="1"/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  <xf numFmtId="164" fontId="4" fillId="0" borderId="2" xfId="1" applyNumberFormat="1" applyFont="1" applyBorder="1"/>
    <xf numFmtId="0" fontId="0" fillId="0" borderId="1" xfId="0" applyFont="1" applyBorder="1"/>
    <xf numFmtId="164" fontId="8" fillId="0" borderId="1" xfId="1" applyNumberFormat="1" applyFont="1" applyBorder="1"/>
    <xf numFmtId="164" fontId="5" fillId="0" borderId="1" xfId="1" applyNumberFormat="1" applyFont="1" applyFill="1" applyBorder="1"/>
    <xf numFmtId="0" fontId="1" fillId="0" borderId="1" xfId="0" applyFont="1" applyBorder="1" applyAlignment="1">
      <alignment horizontal="center"/>
    </xf>
    <xf numFmtId="164" fontId="0" fillId="0" borderId="1" xfId="0" applyNumberFormat="1" applyBorder="1"/>
    <xf numFmtId="164" fontId="1" fillId="0" borderId="1" xfId="1" applyNumberFormat="1" applyFont="1" applyBorder="1" applyAlignment="1">
      <alignment horizontal="right"/>
    </xf>
    <xf numFmtId="164" fontId="0" fillId="0" borderId="1" xfId="0" applyNumberFormat="1" applyFill="1" applyBorder="1"/>
    <xf numFmtId="0" fontId="2" fillId="0" borderId="1" xfId="0" applyFont="1" applyBorder="1"/>
    <xf numFmtId="164" fontId="1" fillId="0" borderId="1" xfId="0" applyNumberFormat="1" applyFont="1" applyBorder="1"/>
    <xf numFmtId="0" fontId="0" fillId="0" borderId="21" xfId="0" applyFill="1" applyBorder="1"/>
    <xf numFmtId="0" fontId="10" fillId="0" borderId="1" xfId="0" applyFont="1" applyBorder="1"/>
    <xf numFmtId="164" fontId="11" fillId="0" borderId="1" xfId="1" applyNumberFormat="1" applyFont="1" applyBorder="1"/>
    <xf numFmtId="0" fontId="11" fillId="0" borderId="1" xfId="0" applyFont="1" applyBorder="1"/>
    <xf numFmtId="164" fontId="11" fillId="0" borderId="1" xfId="1" applyNumberFormat="1" applyFont="1" applyFill="1" applyBorder="1"/>
    <xf numFmtId="0" fontId="9" fillId="0" borderId="0" xfId="0" applyFont="1" applyBorder="1"/>
    <xf numFmtId="164" fontId="0" fillId="0" borderId="0" xfId="1" applyNumberFormat="1" applyFont="1" applyBorder="1"/>
    <xf numFmtId="164" fontId="0" fillId="0" borderId="0" xfId="0" applyNumberFormat="1" applyBorder="1"/>
    <xf numFmtId="164" fontId="0" fillId="0" borderId="0" xfId="1" applyNumberFormat="1" applyFont="1" applyFill="1" applyBorder="1"/>
    <xf numFmtId="164" fontId="0" fillId="0" borderId="0" xfId="0" applyNumberFormat="1" applyFill="1" applyBorder="1"/>
    <xf numFmtId="164" fontId="1" fillId="0" borderId="0" xfId="1" applyNumberFormat="1" applyFont="1" applyBorder="1" applyAlignment="1">
      <alignment horizontal="right"/>
    </xf>
    <xf numFmtId="164" fontId="1" fillId="0" borderId="0" xfId="1" applyNumberFormat="1" applyFont="1" applyBorder="1"/>
    <xf numFmtId="43" fontId="0" fillId="0" borderId="1" xfId="1" applyNumberFormat="1" applyFont="1" applyBorder="1" applyAlignment="1">
      <alignment horizontal="right"/>
    </xf>
    <xf numFmtId="43" fontId="0" fillId="0" borderId="1" xfId="1" applyNumberFormat="1" applyFont="1" applyBorder="1"/>
    <xf numFmtId="43" fontId="1" fillId="0" borderId="1" xfId="0" applyNumberFormat="1" applyFont="1" applyBorder="1"/>
    <xf numFmtId="0" fontId="0" fillId="0" borderId="1" xfId="0" applyFont="1" applyFill="1" applyBorder="1"/>
    <xf numFmtId="164" fontId="8" fillId="0" borderId="1" xfId="1" applyNumberFormat="1" applyFont="1" applyFill="1" applyBorder="1"/>
    <xf numFmtId="0" fontId="0" fillId="0" borderId="22" xfId="0" applyBorder="1"/>
    <xf numFmtId="164" fontId="0" fillId="0" borderId="22" xfId="1" applyNumberFormat="1" applyFont="1" applyBorder="1"/>
    <xf numFmtId="0" fontId="5" fillId="0" borderId="0" xfId="0" applyFont="1"/>
    <xf numFmtId="0" fontId="0" fillId="0" borderId="0" xfId="0" applyFont="1"/>
    <xf numFmtId="0" fontId="1" fillId="0" borderId="1" xfId="0" applyFont="1" applyBorder="1" applyAlignment="1">
      <alignment horizontal="center"/>
    </xf>
    <xf numFmtId="43" fontId="0" fillId="0" borderId="1" xfId="1" applyNumberFormat="1" applyFont="1" applyFill="1" applyBorder="1" applyAlignment="1">
      <alignment horizontal="right"/>
    </xf>
    <xf numFmtId="43" fontId="0" fillId="0" borderId="1" xfId="1" applyNumberFormat="1" applyFont="1" applyFill="1" applyBorder="1"/>
    <xf numFmtId="164" fontId="11" fillId="0" borderId="1" xfId="0" applyNumberFormat="1" applyFont="1" applyBorder="1"/>
    <xf numFmtId="0" fontId="11" fillId="0" borderId="1" xfId="0" applyFont="1" applyFill="1" applyBorder="1"/>
    <xf numFmtId="43" fontId="0" fillId="0" borderId="0" xfId="1" applyFont="1"/>
    <xf numFmtId="0" fontId="0" fillId="0" borderId="23" xfId="0" applyBorder="1"/>
    <xf numFmtId="0" fontId="0" fillId="0" borderId="8" xfId="0" applyBorder="1"/>
    <xf numFmtId="0" fontId="1" fillId="0" borderId="9" xfId="0" applyFont="1" applyBorder="1"/>
    <xf numFmtId="0" fontId="1" fillId="0" borderId="24" xfId="0" applyFont="1" applyBorder="1"/>
    <xf numFmtId="0" fontId="0" fillId="0" borderId="9" xfId="0" applyBorder="1"/>
    <xf numFmtId="0" fontId="0" fillId="0" borderId="24" xfId="0" applyBorder="1"/>
    <xf numFmtId="164" fontId="0" fillId="0" borderId="3" xfId="1" applyNumberFormat="1" applyFont="1" applyBorder="1"/>
    <xf numFmtId="164" fontId="0" fillId="0" borderId="4" xfId="1" applyNumberFormat="1" applyFont="1" applyBorder="1"/>
    <xf numFmtId="164" fontId="0" fillId="0" borderId="5" xfId="1" applyNumberFormat="1" applyFont="1" applyBorder="1"/>
    <xf numFmtId="3" fontId="1" fillId="0" borderId="5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ont="1" applyFill="1" applyBorder="1"/>
    <xf numFmtId="0" fontId="0" fillId="2" borderId="1" xfId="0" applyFill="1" applyBorder="1"/>
    <xf numFmtId="164" fontId="0" fillId="2" borderId="1" xfId="1" applyNumberFormat="1" applyFont="1" applyFill="1" applyBorder="1"/>
    <xf numFmtId="164" fontId="0" fillId="2" borderId="1" xfId="0" applyNumberFormat="1" applyFill="1" applyBorder="1"/>
    <xf numFmtId="43" fontId="1" fillId="0" borderId="0" xfId="0" applyNumberFormat="1" applyFont="1"/>
    <xf numFmtId="0" fontId="5" fillId="0" borderId="21" xfId="0" applyFont="1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2" xfId="0" applyFill="1" applyBorder="1"/>
    <xf numFmtId="164" fontId="0" fillId="0" borderId="22" xfId="1" applyNumberFormat="1" applyFont="1" applyFill="1" applyBorder="1"/>
    <xf numFmtId="164" fontId="0" fillId="0" borderId="2" xfId="0" applyNumberForma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3" fontId="0" fillId="0" borderId="1" xfId="1" applyFont="1" applyBorder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44"/>
  <sheetViews>
    <sheetView topLeftCell="A37" workbookViewId="0">
      <selection activeCell="C113" sqref="C113"/>
    </sheetView>
  </sheetViews>
  <sheetFormatPr defaultRowHeight="15" x14ac:dyDescent="0.25"/>
  <cols>
    <col min="1" max="1" width="11.28515625" customWidth="1"/>
    <col min="2" max="2" width="12.140625" customWidth="1"/>
    <col min="3" max="3" width="35.42578125" customWidth="1"/>
    <col min="4" max="4" width="11.140625" customWidth="1"/>
    <col min="5" max="5" width="12.7109375" customWidth="1"/>
    <col min="6" max="6" width="13.85546875" customWidth="1"/>
    <col min="7" max="7" width="14" customWidth="1"/>
  </cols>
  <sheetData>
    <row r="2" spans="1:7" ht="18.75" x14ac:dyDescent="0.3">
      <c r="A2" s="130" t="s">
        <v>18</v>
      </c>
      <c r="B2" s="130"/>
      <c r="C2" s="130"/>
      <c r="D2" s="130"/>
      <c r="E2" s="130"/>
      <c r="F2" s="130"/>
      <c r="G2" s="130"/>
    </row>
    <row r="3" spans="1:7" ht="18.75" x14ac:dyDescent="0.3">
      <c r="A3" s="130" t="s">
        <v>0</v>
      </c>
      <c r="B3" s="130"/>
      <c r="C3" s="130"/>
      <c r="D3" s="130"/>
      <c r="E3" s="130"/>
      <c r="F3" s="130"/>
      <c r="G3" s="130"/>
    </row>
    <row r="4" spans="1:7" ht="18.75" x14ac:dyDescent="0.3">
      <c r="A4" s="130" t="s">
        <v>1</v>
      </c>
      <c r="B4" s="130"/>
      <c r="C4" s="130"/>
      <c r="D4" s="130"/>
      <c r="E4" s="130"/>
      <c r="F4" s="130"/>
      <c r="G4" s="130"/>
    </row>
    <row r="5" spans="1:7" ht="18.75" x14ac:dyDescent="0.3">
      <c r="A5" s="130" t="s">
        <v>2</v>
      </c>
      <c r="B5" s="130"/>
      <c r="C5" s="130"/>
      <c r="D5" s="130"/>
      <c r="E5" s="130"/>
      <c r="F5" s="130"/>
      <c r="G5" s="130"/>
    </row>
    <row r="6" spans="1:7" ht="18.75" x14ac:dyDescent="0.3">
      <c r="A6" s="130" t="s">
        <v>3</v>
      </c>
      <c r="B6" s="130"/>
      <c r="C6" s="130"/>
      <c r="D6" s="130"/>
      <c r="E6" s="130"/>
      <c r="F6" s="130"/>
      <c r="G6" s="130"/>
    </row>
    <row r="8" spans="1:7" x14ac:dyDescent="0.25">
      <c r="A8" s="4" t="s">
        <v>4</v>
      </c>
      <c r="B8" s="4" t="s">
        <v>5</v>
      </c>
      <c r="C8" s="4" t="s">
        <v>6</v>
      </c>
      <c r="D8" s="4" t="s">
        <v>7</v>
      </c>
      <c r="E8" s="4" t="s">
        <v>9</v>
      </c>
      <c r="F8" s="4" t="s">
        <v>8</v>
      </c>
      <c r="G8" s="4" t="s">
        <v>10</v>
      </c>
    </row>
    <row r="9" spans="1:7" x14ac:dyDescent="0.25">
      <c r="A9" s="2">
        <v>42036</v>
      </c>
      <c r="B9" s="1"/>
      <c r="C9" s="1" t="s">
        <v>11</v>
      </c>
      <c r="D9" s="1"/>
      <c r="E9" s="1"/>
      <c r="F9" s="1"/>
      <c r="G9" s="1">
        <v>0</v>
      </c>
    </row>
    <row r="10" spans="1:7" x14ac:dyDescent="0.25">
      <c r="A10" s="2">
        <v>42037</v>
      </c>
      <c r="B10" s="1"/>
      <c r="C10" s="1" t="s">
        <v>12</v>
      </c>
      <c r="D10" s="1" t="s">
        <v>13</v>
      </c>
      <c r="E10" s="1">
        <v>150000</v>
      </c>
      <c r="F10" s="1"/>
      <c r="G10" s="1">
        <f>G9+E10-F10</f>
        <v>150000</v>
      </c>
    </row>
    <row r="11" spans="1:7" x14ac:dyDescent="0.25">
      <c r="A11" s="2">
        <v>42040</v>
      </c>
      <c r="B11" s="1">
        <v>5</v>
      </c>
      <c r="C11" s="1" t="s">
        <v>14</v>
      </c>
      <c r="D11" s="1"/>
      <c r="E11" s="1"/>
      <c r="F11" s="1">
        <v>1250</v>
      </c>
      <c r="G11" s="1">
        <f t="shared" ref="G11:G13" si="0">G10+E11-F11</f>
        <v>148750</v>
      </c>
    </row>
    <row r="12" spans="1:7" x14ac:dyDescent="0.25">
      <c r="A12" s="1"/>
      <c r="B12" s="1"/>
      <c r="C12" s="1" t="s">
        <v>15</v>
      </c>
      <c r="D12" s="1"/>
      <c r="E12" s="1"/>
      <c r="F12" s="1">
        <v>4000</v>
      </c>
      <c r="G12" s="1">
        <f t="shared" si="0"/>
        <v>144750</v>
      </c>
    </row>
    <row r="13" spans="1:7" x14ac:dyDescent="0.25">
      <c r="A13" s="1"/>
      <c r="B13" s="1"/>
      <c r="C13" s="1" t="s">
        <v>16</v>
      </c>
      <c r="D13" s="1"/>
      <c r="E13" s="1"/>
      <c r="F13" s="1">
        <v>2550</v>
      </c>
      <c r="G13" s="1">
        <f t="shared" si="0"/>
        <v>142200</v>
      </c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  <row r="35" spans="1:7" ht="18.75" x14ac:dyDescent="0.3">
      <c r="A35" s="130" t="s">
        <v>17</v>
      </c>
      <c r="B35" s="130"/>
      <c r="C35" s="130"/>
      <c r="D35" s="130"/>
      <c r="E35" s="130"/>
      <c r="F35" s="130"/>
      <c r="G35" s="130"/>
    </row>
    <row r="36" spans="1:7" ht="18.75" x14ac:dyDescent="0.3">
      <c r="A36" s="130" t="s">
        <v>0</v>
      </c>
      <c r="B36" s="130"/>
      <c r="C36" s="130"/>
      <c r="D36" s="130"/>
      <c r="E36" s="130"/>
      <c r="F36" s="130"/>
      <c r="G36" s="130"/>
    </row>
    <row r="37" spans="1:7" ht="18.75" x14ac:dyDescent="0.3">
      <c r="A37" s="130" t="s">
        <v>1</v>
      </c>
      <c r="B37" s="130"/>
      <c r="C37" s="130"/>
      <c r="D37" s="130"/>
      <c r="E37" s="130"/>
      <c r="F37" s="130"/>
      <c r="G37" s="130"/>
    </row>
    <row r="38" spans="1:7" ht="18.75" x14ac:dyDescent="0.3">
      <c r="A38" s="130" t="s">
        <v>2</v>
      </c>
      <c r="B38" s="130"/>
      <c r="C38" s="130"/>
      <c r="D38" s="130"/>
      <c r="E38" s="130"/>
      <c r="F38" s="130"/>
      <c r="G38" s="130"/>
    </row>
    <row r="39" spans="1:7" ht="18.75" x14ac:dyDescent="0.3">
      <c r="A39" s="130" t="s">
        <v>3</v>
      </c>
      <c r="B39" s="130"/>
      <c r="C39" s="130"/>
      <c r="D39" s="130"/>
      <c r="E39" s="130"/>
      <c r="F39" s="130"/>
      <c r="G39" s="130"/>
    </row>
    <row r="41" spans="1:7" x14ac:dyDescent="0.25">
      <c r="A41" s="4" t="s">
        <v>4</v>
      </c>
      <c r="B41" s="4" t="s">
        <v>5</v>
      </c>
      <c r="C41" s="4" t="s">
        <v>6</v>
      </c>
      <c r="D41" s="4" t="s">
        <v>7</v>
      </c>
      <c r="E41" s="4" t="s">
        <v>9</v>
      </c>
      <c r="F41" s="4" t="s">
        <v>8</v>
      </c>
      <c r="G41" s="4" t="s">
        <v>10</v>
      </c>
    </row>
    <row r="42" spans="1:7" x14ac:dyDescent="0.25">
      <c r="A42" s="2">
        <v>42036</v>
      </c>
      <c r="B42" s="1"/>
      <c r="C42" s="1" t="s">
        <v>11</v>
      </c>
      <c r="D42" s="1"/>
      <c r="E42" s="1"/>
      <c r="F42" s="1"/>
      <c r="G42" s="1">
        <v>0</v>
      </c>
    </row>
    <row r="43" spans="1:7" x14ac:dyDescent="0.25">
      <c r="A43" s="2">
        <v>42037</v>
      </c>
      <c r="B43" s="1"/>
      <c r="C43" s="1" t="s">
        <v>12</v>
      </c>
      <c r="D43" s="1" t="s">
        <v>13</v>
      </c>
      <c r="E43" s="1">
        <v>150000</v>
      </c>
      <c r="F43" s="1"/>
      <c r="G43" s="1">
        <f>G42+E43-F43</f>
        <v>150000</v>
      </c>
    </row>
    <row r="44" spans="1:7" x14ac:dyDescent="0.25">
      <c r="A44" s="2">
        <v>42040</v>
      </c>
      <c r="B44" s="1">
        <v>5</v>
      </c>
      <c r="C44" s="1" t="s">
        <v>14</v>
      </c>
      <c r="D44" s="1"/>
      <c r="E44" s="1"/>
      <c r="F44" s="1">
        <v>1250</v>
      </c>
      <c r="G44" s="1">
        <f t="shared" ref="G44:G46" si="1">G43+E44-F44</f>
        <v>148750</v>
      </c>
    </row>
    <row r="45" spans="1:7" x14ac:dyDescent="0.25">
      <c r="A45" s="1"/>
      <c r="B45" s="1"/>
      <c r="C45" s="1" t="s">
        <v>15</v>
      </c>
      <c r="D45" s="1"/>
      <c r="E45" s="1"/>
      <c r="F45" s="1">
        <v>4000</v>
      </c>
      <c r="G45" s="1">
        <f t="shared" si="1"/>
        <v>144750</v>
      </c>
    </row>
    <row r="46" spans="1:7" x14ac:dyDescent="0.25">
      <c r="A46" s="1"/>
      <c r="B46" s="1"/>
      <c r="C46" s="1" t="s">
        <v>16</v>
      </c>
      <c r="D46" s="1"/>
      <c r="E46" s="1"/>
      <c r="F46" s="1">
        <v>2550</v>
      </c>
      <c r="G46" s="1">
        <f t="shared" si="1"/>
        <v>142200</v>
      </c>
    </row>
    <row r="47" spans="1:7" x14ac:dyDescent="0.25">
      <c r="A47" s="1"/>
      <c r="B47" s="1"/>
      <c r="C47" s="1"/>
      <c r="D47" s="1"/>
      <c r="E47" s="1"/>
      <c r="F47" s="1"/>
      <c r="G47" s="1"/>
    </row>
    <row r="48" spans="1:7" x14ac:dyDescent="0.25">
      <c r="A48" s="1"/>
      <c r="B48" s="1"/>
      <c r="C48" s="1"/>
      <c r="D48" s="1"/>
      <c r="E48" s="1"/>
      <c r="F48" s="1"/>
      <c r="G48" s="1"/>
    </row>
    <row r="68" spans="2:4" ht="18.75" x14ac:dyDescent="0.3">
      <c r="B68" s="6" t="s">
        <v>19</v>
      </c>
      <c r="C68" s="5"/>
    </row>
    <row r="69" spans="2:4" ht="18.75" x14ac:dyDescent="0.3">
      <c r="B69" s="6" t="s">
        <v>20</v>
      </c>
      <c r="C69" s="5"/>
    </row>
    <row r="70" spans="2:4" ht="15.75" x14ac:dyDescent="0.25">
      <c r="B70" s="8" t="s">
        <v>21</v>
      </c>
      <c r="C70" s="8" t="s">
        <v>6</v>
      </c>
      <c r="D70" s="8" t="s">
        <v>7</v>
      </c>
    </row>
    <row r="71" spans="2:4" ht="15.75" x14ac:dyDescent="0.25">
      <c r="B71" s="1"/>
      <c r="C71" s="8" t="s">
        <v>52</v>
      </c>
      <c r="D71" s="1"/>
    </row>
    <row r="72" spans="2:4" x14ac:dyDescent="0.25">
      <c r="B72" s="1">
        <v>1</v>
      </c>
      <c r="C72" s="1" t="s">
        <v>22</v>
      </c>
      <c r="D72" s="7">
        <v>101</v>
      </c>
    </row>
    <row r="73" spans="2:4" x14ac:dyDescent="0.25">
      <c r="B73" s="1">
        <v>2</v>
      </c>
      <c r="C73" s="1" t="s">
        <v>23</v>
      </c>
      <c r="D73" s="7">
        <v>102</v>
      </c>
    </row>
    <row r="74" spans="2:4" x14ac:dyDescent="0.25">
      <c r="B74" s="1">
        <v>3</v>
      </c>
      <c r="C74" s="1" t="s">
        <v>24</v>
      </c>
      <c r="D74" s="7">
        <v>103</v>
      </c>
    </row>
    <row r="75" spans="2:4" x14ac:dyDescent="0.25">
      <c r="B75" s="1">
        <v>4</v>
      </c>
      <c r="C75" s="1" t="s">
        <v>26</v>
      </c>
      <c r="D75" s="7">
        <v>104</v>
      </c>
    </row>
    <row r="76" spans="2:4" x14ac:dyDescent="0.25">
      <c r="B76" s="1">
        <v>5</v>
      </c>
      <c r="C76" s="1" t="s">
        <v>25</v>
      </c>
      <c r="D76" s="1">
        <v>105</v>
      </c>
    </row>
    <row r="77" spans="2:4" x14ac:dyDescent="0.25">
      <c r="B77" s="1"/>
      <c r="C77" s="3" t="s">
        <v>27</v>
      </c>
      <c r="D77" s="1"/>
    </row>
    <row r="78" spans="2:4" x14ac:dyDescent="0.25">
      <c r="B78" s="1">
        <v>6</v>
      </c>
      <c r="C78" s="1" t="s">
        <v>28</v>
      </c>
      <c r="D78" s="1">
        <v>106</v>
      </c>
    </row>
    <row r="79" spans="2:4" x14ac:dyDescent="0.25">
      <c r="B79" s="1">
        <v>7</v>
      </c>
      <c r="C79" s="1" t="s">
        <v>30</v>
      </c>
      <c r="D79" s="1">
        <v>107</v>
      </c>
    </row>
    <row r="80" spans="2:4" x14ac:dyDescent="0.25">
      <c r="B80" s="1">
        <v>8</v>
      </c>
      <c r="C80" s="1" t="s">
        <v>29</v>
      </c>
      <c r="D80" s="1">
        <v>108</v>
      </c>
    </row>
    <row r="81" spans="2:4" x14ac:dyDescent="0.25">
      <c r="B81" s="1">
        <v>9</v>
      </c>
      <c r="C81" s="1" t="s">
        <v>25</v>
      </c>
      <c r="D81" s="1">
        <v>109</v>
      </c>
    </row>
    <row r="82" spans="2:4" x14ac:dyDescent="0.25">
      <c r="B82" s="1"/>
      <c r="C82" s="1"/>
      <c r="D82" s="1"/>
    </row>
    <row r="83" spans="2:4" ht="15.75" x14ac:dyDescent="0.25">
      <c r="B83" s="1"/>
      <c r="C83" s="8" t="s">
        <v>51</v>
      </c>
      <c r="D83" s="1"/>
    </row>
    <row r="84" spans="2:4" x14ac:dyDescent="0.25">
      <c r="B84" s="1">
        <v>1</v>
      </c>
      <c r="C84" s="1" t="s">
        <v>15</v>
      </c>
      <c r="D84" s="1">
        <v>201</v>
      </c>
    </row>
    <row r="85" spans="2:4" x14ac:dyDescent="0.25">
      <c r="B85" s="1">
        <v>2</v>
      </c>
      <c r="C85" s="1" t="s">
        <v>31</v>
      </c>
      <c r="D85" s="1">
        <v>202</v>
      </c>
    </row>
    <row r="86" spans="2:4" x14ac:dyDescent="0.25">
      <c r="B86" s="1">
        <v>3</v>
      </c>
      <c r="C86" s="1" t="s">
        <v>32</v>
      </c>
      <c r="D86" s="1">
        <v>203</v>
      </c>
    </row>
    <row r="87" spans="2:4" x14ac:dyDescent="0.25">
      <c r="B87" s="1">
        <v>4</v>
      </c>
      <c r="C87" s="1" t="s">
        <v>33</v>
      </c>
      <c r="D87" s="1">
        <v>204</v>
      </c>
    </row>
    <row r="88" spans="2:4" x14ac:dyDescent="0.25">
      <c r="B88" s="1">
        <v>5</v>
      </c>
      <c r="C88" s="1" t="s">
        <v>34</v>
      </c>
      <c r="D88" s="1">
        <v>205</v>
      </c>
    </row>
    <row r="89" spans="2:4" x14ac:dyDescent="0.25">
      <c r="B89" s="1">
        <v>6</v>
      </c>
      <c r="C89" s="1" t="s">
        <v>35</v>
      </c>
      <c r="D89" s="1">
        <v>206</v>
      </c>
    </row>
    <row r="90" spans="2:4" x14ac:dyDescent="0.25">
      <c r="B90" s="1">
        <v>7</v>
      </c>
      <c r="C90" s="1" t="s">
        <v>45</v>
      </c>
      <c r="D90" s="1">
        <v>207</v>
      </c>
    </row>
    <row r="91" spans="2:4" x14ac:dyDescent="0.25">
      <c r="B91" s="1">
        <v>8</v>
      </c>
      <c r="C91" s="1" t="s">
        <v>47</v>
      </c>
      <c r="D91" s="1">
        <v>208</v>
      </c>
    </row>
    <row r="92" spans="2:4" x14ac:dyDescent="0.25">
      <c r="B92" s="1">
        <v>9</v>
      </c>
      <c r="C92" s="1" t="s">
        <v>36</v>
      </c>
      <c r="D92" s="1">
        <v>209</v>
      </c>
    </row>
    <row r="93" spans="2:4" x14ac:dyDescent="0.25">
      <c r="B93" s="1">
        <v>10</v>
      </c>
      <c r="C93" s="1" t="s">
        <v>25</v>
      </c>
      <c r="D93" s="1">
        <v>210</v>
      </c>
    </row>
    <row r="102" spans="2:4" ht="15.75" x14ac:dyDescent="0.25">
      <c r="B102" s="9" t="s">
        <v>21</v>
      </c>
      <c r="C102" s="8" t="s">
        <v>50</v>
      </c>
      <c r="D102" s="8" t="s">
        <v>7</v>
      </c>
    </row>
    <row r="103" spans="2:4" x14ac:dyDescent="0.25">
      <c r="B103" s="1">
        <v>1</v>
      </c>
      <c r="C103" s="1" t="s">
        <v>48</v>
      </c>
      <c r="D103" s="1">
        <v>301</v>
      </c>
    </row>
    <row r="104" spans="2:4" x14ac:dyDescent="0.25">
      <c r="B104" s="1">
        <v>2</v>
      </c>
      <c r="C104" s="1" t="s">
        <v>37</v>
      </c>
      <c r="D104" s="1">
        <v>302</v>
      </c>
    </row>
    <row r="105" spans="2:4" x14ac:dyDescent="0.25">
      <c r="B105" s="1">
        <v>3</v>
      </c>
      <c r="C105" s="1" t="s">
        <v>38</v>
      </c>
      <c r="D105" s="1">
        <v>303</v>
      </c>
    </row>
    <row r="106" spans="2:4" x14ac:dyDescent="0.25">
      <c r="B106" s="1">
        <v>4</v>
      </c>
      <c r="C106" s="1" t="s">
        <v>39</v>
      </c>
      <c r="D106" s="1">
        <v>304</v>
      </c>
    </row>
    <row r="107" spans="2:4" x14ac:dyDescent="0.25">
      <c r="B107" s="1">
        <v>5</v>
      </c>
      <c r="C107" s="1" t="s">
        <v>40</v>
      </c>
      <c r="D107" s="1">
        <v>305</v>
      </c>
    </row>
    <row r="108" spans="2:4" x14ac:dyDescent="0.25">
      <c r="B108" s="1">
        <v>6</v>
      </c>
      <c r="C108" s="1" t="s">
        <v>41</v>
      </c>
      <c r="D108" s="1">
        <v>306</v>
      </c>
    </row>
    <row r="109" spans="2:4" x14ac:dyDescent="0.25">
      <c r="B109" s="1">
        <v>7</v>
      </c>
      <c r="C109" s="1" t="s">
        <v>42</v>
      </c>
      <c r="D109" s="1">
        <v>307</v>
      </c>
    </row>
    <row r="110" spans="2:4" x14ac:dyDescent="0.25">
      <c r="B110" s="1">
        <v>8</v>
      </c>
      <c r="C110" s="1" t="s">
        <v>43</v>
      </c>
      <c r="D110" s="1">
        <v>308</v>
      </c>
    </row>
    <row r="111" spans="2:4" x14ac:dyDescent="0.25">
      <c r="B111" s="1">
        <v>9</v>
      </c>
      <c r="C111" s="1" t="s">
        <v>44</v>
      </c>
      <c r="D111" s="1">
        <v>309</v>
      </c>
    </row>
    <row r="112" spans="2:4" x14ac:dyDescent="0.25">
      <c r="B112" s="1">
        <v>10</v>
      </c>
      <c r="C112" s="1" t="s">
        <v>49</v>
      </c>
      <c r="D112" s="1">
        <v>310</v>
      </c>
    </row>
    <row r="113" spans="2:4" x14ac:dyDescent="0.25">
      <c r="B113" s="1">
        <v>11</v>
      </c>
      <c r="C113" s="1" t="s">
        <v>25</v>
      </c>
      <c r="D113" s="1">
        <v>311</v>
      </c>
    </row>
    <row r="136" spans="2:6" ht="15.75" x14ac:dyDescent="0.25">
      <c r="B136" s="11" t="s">
        <v>53</v>
      </c>
    </row>
    <row r="138" spans="2:6" x14ac:dyDescent="0.25">
      <c r="B138">
        <v>1</v>
      </c>
      <c r="C138" t="s">
        <v>56</v>
      </c>
      <c r="D138" t="s">
        <v>61</v>
      </c>
    </row>
    <row r="139" spans="2:6" x14ac:dyDescent="0.25">
      <c r="B139">
        <v>2</v>
      </c>
      <c r="C139" t="s">
        <v>54</v>
      </c>
      <c r="D139" t="s">
        <v>61</v>
      </c>
    </row>
    <row r="140" spans="2:6" x14ac:dyDescent="0.25">
      <c r="B140">
        <v>3</v>
      </c>
      <c r="C140" t="s">
        <v>55</v>
      </c>
      <c r="D140" t="s">
        <v>61</v>
      </c>
    </row>
    <row r="141" spans="2:6" x14ac:dyDescent="0.25">
      <c r="B141">
        <v>4</v>
      </c>
      <c r="C141" t="s">
        <v>57</v>
      </c>
      <c r="D141" t="s">
        <v>61</v>
      </c>
    </row>
    <row r="142" spans="2:6" x14ac:dyDescent="0.25">
      <c r="B142">
        <v>5</v>
      </c>
      <c r="C142" t="s">
        <v>58</v>
      </c>
      <c r="F142" s="10"/>
    </row>
    <row r="143" spans="2:6" x14ac:dyDescent="0.25">
      <c r="B143">
        <v>6</v>
      </c>
      <c r="C143" t="s">
        <v>59</v>
      </c>
    </row>
    <row r="144" spans="2:6" x14ac:dyDescent="0.25">
      <c r="B144">
        <v>7</v>
      </c>
      <c r="C144" t="s">
        <v>60</v>
      </c>
    </row>
  </sheetData>
  <mergeCells count="10">
    <mergeCell ref="A36:G36"/>
    <mergeCell ref="A37:G37"/>
    <mergeCell ref="A38:G38"/>
    <mergeCell ref="A39:G39"/>
    <mergeCell ref="A2:G2"/>
    <mergeCell ref="A3:G3"/>
    <mergeCell ref="A4:G4"/>
    <mergeCell ref="A5:G5"/>
    <mergeCell ref="A6:G6"/>
    <mergeCell ref="A35:G35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75"/>
  <sheetViews>
    <sheetView workbookViewId="0">
      <selection activeCell="F40" sqref="F40"/>
    </sheetView>
  </sheetViews>
  <sheetFormatPr defaultRowHeight="15" x14ac:dyDescent="0.25"/>
  <cols>
    <col min="1" max="1" width="12.140625" customWidth="1"/>
    <col min="2" max="2" width="7.28515625" customWidth="1"/>
    <col min="3" max="3" width="33.42578125" customWidth="1"/>
    <col min="4" max="4" width="10.7109375" customWidth="1"/>
    <col min="5" max="5" width="11.42578125" customWidth="1"/>
    <col min="6" max="6" width="12" customWidth="1"/>
    <col min="7" max="7" width="11.7109375" customWidth="1"/>
    <col min="8" max="8" width="13.140625" customWidth="1"/>
    <col min="9" max="9" width="12.85546875" customWidth="1"/>
    <col min="10" max="10" width="10" customWidth="1"/>
    <col min="11" max="11" width="9.85546875" customWidth="1"/>
    <col min="12" max="12" width="10.5703125" customWidth="1"/>
  </cols>
  <sheetData>
    <row r="2" spans="1:12" ht="18.75" x14ac:dyDescent="0.3">
      <c r="A2" s="130" t="s">
        <v>62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</row>
    <row r="3" spans="1:12" ht="18.75" x14ac:dyDescent="0.3">
      <c r="A3" s="130" t="s">
        <v>63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</row>
    <row r="4" spans="1:12" ht="18.75" x14ac:dyDescent="0.3">
      <c r="A4" s="130" t="s">
        <v>64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0"/>
    </row>
    <row r="5" spans="1:12" ht="18.75" x14ac:dyDescent="0.3">
      <c r="A5" s="130" t="s">
        <v>65</v>
      </c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</row>
    <row r="7" spans="1:12" x14ac:dyDescent="0.25">
      <c r="A7" s="131" t="s">
        <v>4</v>
      </c>
      <c r="B7" s="131" t="s">
        <v>66</v>
      </c>
      <c r="C7" s="4" t="s">
        <v>6</v>
      </c>
      <c r="D7" s="131" t="s">
        <v>79</v>
      </c>
      <c r="E7" s="131" t="s">
        <v>67</v>
      </c>
      <c r="F7" s="131" t="s">
        <v>73</v>
      </c>
      <c r="G7" s="131"/>
      <c r="H7" s="131" t="s">
        <v>72</v>
      </c>
      <c r="I7" s="131"/>
      <c r="J7" s="131" t="s">
        <v>71</v>
      </c>
      <c r="K7" s="131"/>
      <c r="L7" s="131" t="s">
        <v>70</v>
      </c>
    </row>
    <row r="8" spans="1:12" x14ac:dyDescent="0.25">
      <c r="A8" s="131"/>
      <c r="B8" s="131"/>
      <c r="C8" s="4"/>
      <c r="D8" s="131"/>
      <c r="E8" s="131"/>
      <c r="F8" s="1" t="s">
        <v>68</v>
      </c>
      <c r="G8" s="1" t="s">
        <v>69</v>
      </c>
      <c r="H8" s="1" t="s">
        <v>68</v>
      </c>
      <c r="I8" s="1" t="s">
        <v>69</v>
      </c>
      <c r="J8" s="1" t="s">
        <v>68</v>
      </c>
      <c r="K8" s="1" t="s">
        <v>69</v>
      </c>
      <c r="L8" s="131"/>
    </row>
    <row r="9" spans="1:12" x14ac:dyDescent="0.25">
      <c r="A9" s="2">
        <v>42036</v>
      </c>
      <c r="B9" s="2"/>
      <c r="C9" s="1" t="s">
        <v>11</v>
      </c>
      <c r="D9" s="1"/>
      <c r="E9" s="1"/>
      <c r="F9" s="1"/>
      <c r="G9" s="1"/>
      <c r="H9" s="1"/>
      <c r="I9" s="1"/>
      <c r="J9" s="1">
        <v>0</v>
      </c>
      <c r="K9" s="1">
        <v>475000</v>
      </c>
      <c r="L9" s="1">
        <f>J9+K9</f>
        <v>475000</v>
      </c>
    </row>
    <row r="10" spans="1:12" x14ac:dyDescent="0.25">
      <c r="A10" s="2">
        <v>42036</v>
      </c>
      <c r="B10" s="2"/>
      <c r="C10" s="1" t="s">
        <v>74</v>
      </c>
      <c r="D10" s="1"/>
      <c r="E10" s="1" t="s">
        <v>13</v>
      </c>
      <c r="F10" s="1">
        <v>160000</v>
      </c>
      <c r="G10" s="1"/>
      <c r="H10" s="1"/>
      <c r="I10" s="1">
        <v>160000</v>
      </c>
      <c r="J10" s="1">
        <f>J9+F10-H10</f>
        <v>160000</v>
      </c>
      <c r="K10" s="1">
        <f>K9+G10-I10</f>
        <v>315000</v>
      </c>
      <c r="L10" s="1">
        <f t="shared" ref="L10:L13" si="0">J10+K10</f>
        <v>475000</v>
      </c>
    </row>
    <row r="11" spans="1:12" x14ac:dyDescent="0.25">
      <c r="A11" s="2">
        <v>42037</v>
      </c>
      <c r="B11" s="2"/>
      <c r="C11" s="1" t="s">
        <v>15</v>
      </c>
      <c r="D11" s="1"/>
      <c r="E11" s="1"/>
      <c r="F11" s="1"/>
      <c r="G11" s="1"/>
      <c r="H11" s="1">
        <v>4000</v>
      </c>
      <c r="I11" s="1"/>
      <c r="J11" s="1">
        <f t="shared" ref="J11:J13" si="1">J10+F11-H11</f>
        <v>156000</v>
      </c>
      <c r="K11" s="1">
        <f t="shared" ref="K11:K13" si="2">K10+G11-I11</f>
        <v>315000</v>
      </c>
      <c r="L11" s="1">
        <f t="shared" si="0"/>
        <v>471000</v>
      </c>
    </row>
    <row r="12" spans="1:12" x14ac:dyDescent="0.25">
      <c r="A12" s="1"/>
      <c r="B12" s="1"/>
      <c r="C12" s="1" t="s">
        <v>75</v>
      </c>
      <c r="D12" s="1"/>
      <c r="E12" s="1"/>
      <c r="F12" s="1"/>
      <c r="G12" s="1"/>
      <c r="H12" s="1">
        <v>75000</v>
      </c>
      <c r="I12" s="1"/>
      <c r="J12" s="1">
        <f t="shared" si="1"/>
        <v>81000</v>
      </c>
      <c r="K12" s="1">
        <f t="shared" si="2"/>
        <v>315000</v>
      </c>
      <c r="L12" s="1">
        <f t="shared" si="0"/>
        <v>396000</v>
      </c>
    </row>
    <row r="13" spans="1:12" x14ac:dyDescent="0.25">
      <c r="A13" s="1"/>
      <c r="B13" s="1"/>
      <c r="C13" s="1" t="s">
        <v>14</v>
      </c>
      <c r="D13" s="1"/>
      <c r="E13" s="1"/>
      <c r="F13" s="1"/>
      <c r="G13" s="1"/>
      <c r="H13" s="1">
        <v>1250</v>
      </c>
      <c r="I13" s="1"/>
      <c r="J13" s="1">
        <f t="shared" si="1"/>
        <v>79750</v>
      </c>
      <c r="K13" s="1">
        <f t="shared" si="2"/>
        <v>315000</v>
      </c>
      <c r="L13" s="1">
        <f t="shared" si="0"/>
        <v>394750</v>
      </c>
    </row>
    <row r="14" spans="1:12" x14ac:dyDescent="0.25">
      <c r="A14" s="2">
        <v>42040</v>
      </c>
      <c r="B14" s="2"/>
      <c r="C14" s="1" t="s">
        <v>76</v>
      </c>
      <c r="D14" s="1"/>
      <c r="E14" s="1">
        <v>106</v>
      </c>
      <c r="F14" s="1"/>
      <c r="G14" s="1">
        <v>50000</v>
      </c>
      <c r="H14" s="1"/>
      <c r="I14" s="1"/>
      <c r="J14" s="1">
        <f t="shared" ref="J14:J18" si="3">J13+F14-H14</f>
        <v>79750</v>
      </c>
      <c r="K14" s="1">
        <f t="shared" ref="K14:K18" si="4">K13+G14-I14</f>
        <v>365000</v>
      </c>
      <c r="L14" s="1">
        <f t="shared" ref="L14:L18" si="5">J14+K14</f>
        <v>444750</v>
      </c>
    </row>
    <row r="15" spans="1:12" x14ac:dyDescent="0.25">
      <c r="A15" s="2">
        <v>42040</v>
      </c>
      <c r="B15" s="2"/>
      <c r="C15" s="1" t="s">
        <v>77</v>
      </c>
      <c r="D15" s="1"/>
      <c r="E15" s="1">
        <v>106</v>
      </c>
      <c r="F15" s="1"/>
      <c r="G15" s="1">
        <v>300000</v>
      </c>
      <c r="H15" s="1"/>
      <c r="I15" s="1"/>
      <c r="J15" s="1">
        <f t="shared" si="3"/>
        <v>79750</v>
      </c>
      <c r="K15" s="1">
        <f t="shared" si="4"/>
        <v>665000</v>
      </c>
      <c r="L15" s="1">
        <f t="shared" si="5"/>
        <v>744750</v>
      </c>
    </row>
    <row r="16" spans="1:12" x14ac:dyDescent="0.25">
      <c r="A16" s="2">
        <v>42041</v>
      </c>
      <c r="B16" s="2"/>
      <c r="C16" s="1" t="s">
        <v>46</v>
      </c>
      <c r="D16" s="1"/>
      <c r="E16" s="1"/>
      <c r="F16" s="1"/>
      <c r="G16" s="1"/>
      <c r="H16" s="1">
        <v>600</v>
      </c>
      <c r="I16" s="1"/>
      <c r="J16" s="1">
        <f t="shared" si="3"/>
        <v>79150</v>
      </c>
      <c r="K16" s="1">
        <f t="shared" si="4"/>
        <v>665000</v>
      </c>
      <c r="L16" s="1">
        <f t="shared" si="5"/>
        <v>744150</v>
      </c>
    </row>
    <row r="17" spans="1:12" x14ac:dyDescent="0.25">
      <c r="A17" s="1"/>
      <c r="B17" s="1"/>
      <c r="C17" s="1" t="s">
        <v>78</v>
      </c>
      <c r="D17" s="1"/>
      <c r="E17" s="1"/>
      <c r="F17" s="1"/>
      <c r="G17" s="1"/>
      <c r="H17" s="1">
        <v>1000</v>
      </c>
      <c r="I17" s="1"/>
      <c r="J17" s="1">
        <f t="shared" si="3"/>
        <v>78150</v>
      </c>
      <c r="K17" s="1">
        <f t="shared" si="4"/>
        <v>665000</v>
      </c>
      <c r="L17" s="1">
        <f t="shared" si="5"/>
        <v>743150</v>
      </c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>
        <f t="shared" si="3"/>
        <v>78150</v>
      </c>
      <c r="K18" s="1">
        <f t="shared" si="4"/>
        <v>665000</v>
      </c>
      <c r="L18" s="1">
        <f t="shared" si="5"/>
        <v>743150</v>
      </c>
    </row>
    <row r="38" spans="2:9" ht="18.75" x14ac:dyDescent="0.3">
      <c r="C38" s="5" t="s">
        <v>80</v>
      </c>
      <c r="D38" s="12"/>
    </row>
    <row r="39" spans="2:9" ht="18.75" x14ac:dyDescent="0.3">
      <c r="C39" s="5" t="s">
        <v>64</v>
      </c>
      <c r="D39" s="12"/>
    </row>
    <row r="40" spans="2:9" ht="18.75" x14ac:dyDescent="0.3">
      <c r="C40" s="5" t="s">
        <v>114</v>
      </c>
      <c r="D40" s="12"/>
    </row>
    <row r="41" spans="2:9" ht="15.75" x14ac:dyDescent="0.25">
      <c r="B41" s="1" t="s">
        <v>21</v>
      </c>
      <c r="C41" s="8" t="s">
        <v>6</v>
      </c>
      <c r="D41" s="13">
        <v>42005</v>
      </c>
      <c r="E41" s="13">
        <v>42036</v>
      </c>
      <c r="F41" s="13">
        <v>42064</v>
      </c>
      <c r="G41" s="13">
        <v>42095</v>
      </c>
      <c r="H41" s="13">
        <v>42125</v>
      </c>
      <c r="I41" s="1" t="s">
        <v>81</v>
      </c>
    </row>
    <row r="42" spans="2:9" x14ac:dyDescent="0.25">
      <c r="B42" s="1">
        <v>1</v>
      </c>
      <c r="C42" s="1" t="s">
        <v>83</v>
      </c>
      <c r="D42" s="1">
        <v>16100</v>
      </c>
      <c r="E42" s="1">
        <v>0</v>
      </c>
      <c r="F42" s="1">
        <v>0</v>
      </c>
      <c r="G42" s="14">
        <v>0</v>
      </c>
      <c r="H42" s="27">
        <v>0</v>
      </c>
      <c r="I42" s="14">
        <f>SUM(D42:H42)</f>
        <v>16100</v>
      </c>
    </row>
    <row r="43" spans="2:9" ht="15.75" x14ac:dyDescent="0.25">
      <c r="B43" s="1">
        <v>2</v>
      </c>
      <c r="C43" s="17" t="s">
        <v>95</v>
      </c>
      <c r="D43" s="1">
        <v>200000</v>
      </c>
      <c r="E43" s="1">
        <v>615400</v>
      </c>
      <c r="F43" s="1">
        <v>0</v>
      </c>
      <c r="G43" s="14">
        <v>3500</v>
      </c>
      <c r="H43" s="27">
        <v>1500</v>
      </c>
      <c r="I43" s="14">
        <f t="shared" ref="I43:I59" si="6">SUM(D43:H43)</f>
        <v>820400</v>
      </c>
    </row>
    <row r="44" spans="2:9" x14ac:dyDescent="0.25">
      <c r="B44" s="1">
        <v>3</v>
      </c>
      <c r="C44" s="1" t="s">
        <v>82</v>
      </c>
      <c r="D44" s="1">
        <v>0</v>
      </c>
      <c r="E44" s="1">
        <v>103540</v>
      </c>
      <c r="F44" s="1">
        <v>0</v>
      </c>
      <c r="G44" s="14">
        <v>0</v>
      </c>
      <c r="H44" s="27">
        <v>0</v>
      </c>
      <c r="I44" s="14">
        <f t="shared" si="6"/>
        <v>103540</v>
      </c>
    </row>
    <row r="45" spans="2:9" x14ac:dyDescent="0.25">
      <c r="B45" s="1">
        <v>4</v>
      </c>
      <c r="C45" s="1" t="s">
        <v>107</v>
      </c>
      <c r="D45" s="1">
        <v>0</v>
      </c>
      <c r="E45" s="1">
        <v>0</v>
      </c>
      <c r="F45" s="1">
        <v>100000</v>
      </c>
      <c r="G45" s="14">
        <v>220120</v>
      </c>
      <c r="H45" s="27">
        <v>0</v>
      </c>
      <c r="I45" s="14">
        <f t="shared" si="6"/>
        <v>320120</v>
      </c>
    </row>
    <row r="46" spans="2:9" x14ac:dyDescent="0.25">
      <c r="B46" s="1"/>
      <c r="C46" s="1" t="s">
        <v>106</v>
      </c>
      <c r="D46" s="1"/>
      <c r="E46" s="1"/>
      <c r="F46" s="1"/>
      <c r="G46" s="14"/>
      <c r="H46" s="27">
        <v>120650</v>
      </c>
      <c r="I46" s="14">
        <f t="shared" si="6"/>
        <v>120650</v>
      </c>
    </row>
    <row r="47" spans="2:9" x14ac:dyDescent="0.25">
      <c r="B47" s="1">
        <v>5</v>
      </c>
      <c r="C47" s="1" t="s">
        <v>84</v>
      </c>
      <c r="D47" s="1">
        <v>0</v>
      </c>
      <c r="E47" s="1">
        <v>60</v>
      </c>
      <c r="F47" s="1">
        <v>68836</v>
      </c>
      <c r="G47" s="14">
        <v>14190</v>
      </c>
      <c r="H47" s="27">
        <v>15430</v>
      </c>
      <c r="I47" s="14">
        <f t="shared" si="6"/>
        <v>98516</v>
      </c>
    </row>
    <row r="48" spans="2:9" x14ac:dyDescent="0.25">
      <c r="B48" s="1">
        <v>6</v>
      </c>
      <c r="C48" s="1" t="s">
        <v>109</v>
      </c>
      <c r="D48" s="1">
        <v>0</v>
      </c>
      <c r="E48" s="1">
        <v>0</v>
      </c>
      <c r="F48" s="1">
        <v>539000</v>
      </c>
      <c r="G48" s="14">
        <v>811750</v>
      </c>
      <c r="H48" s="27">
        <v>542400</v>
      </c>
      <c r="I48" s="14">
        <f t="shared" si="6"/>
        <v>1893150</v>
      </c>
    </row>
    <row r="49" spans="2:9" x14ac:dyDescent="0.25">
      <c r="B49" s="1">
        <v>7</v>
      </c>
      <c r="C49" s="1" t="s">
        <v>37</v>
      </c>
      <c r="D49" s="1">
        <v>0</v>
      </c>
      <c r="E49" s="1">
        <v>0</v>
      </c>
      <c r="F49" s="1">
        <v>193020</v>
      </c>
      <c r="G49" s="14">
        <v>374300</v>
      </c>
      <c r="H49" s="27">
        <v>164000</v>
      </c>
      <c r="I49" s="14">
        <f t="shared" si="6"/>
        <v>731320</v>
      </c>
    </row>
    <row r="50" spans="2:9" x14ac:dyDescent="0.25">
      <c r="B50" s="1">
        <v>8</v>
      </c>
      <c r="C50" s="1" t="s">
        <v>111</v>
      </c>
      <c r="D50" s="1">
        <v>0</v>
      </c>
      <c r="E50" s="1">
        <v>0</v>
      </c>
      <c r="F50" s="1">
        <v>72028</v>
      </c>
      <c r="G50" s="14">
        <v>436607</v>
      </c>
      <c r="H50" s="27">
        <v>192760</v>
      </c>
      <c r="I50" s="14">
        <f t="shared" si="6"/>
        <v>701395</v>
      </c>
    </row>
    <row r="51" spans="2:9" x14ac:dyDescent="0.25">
      <c r="B51" s="1">
        <v>9</v>
      </c>
      <c r="C51" s="1" t="s">
        <v>96</v>
      </c>
      <c r="D51" s="1">
        <v>0</v>
      </c>
      <c r="E51" s="1">
        <v>0</v>
      </c>
      <c r="F51" s="1">
        <v>0</v>
      </c>
      <c r="G51" s="14"/>
      <c r="H51" s="27">
        <v>88750</v>
      </c>
      <c r="I51" s="14">
        <f t="shared" si="6"/>
        <v>88750</v>
      </c>
    </row>
    <row r="52" spans="2:9" x14ac:dyDescent="0.25">
      <c r="B52" s="1">
        <v>10</v>
      </c>
      <c r="C52" s="1" t="s">
        <v>110</v>
      </c>
      <c r="D52" s="1">
        <v>0</v>
      </c>
      <c r="E52" s="1">
        <v>0</v>
      </c>
      <c r="F52" s="1">
        <v>111960</v>
      </c>
      <c r="G52" s="14">
        <v>185420</v>
      </c>
      <c r="H52" s="27">
        <v>26600</v>
      </c>
      <c r="I52" s="14">
        <f t="shared" si="6"/>
        <v>323980</v>
      </c>
    </row>
    <row r="53" spans="2:9" x14ac:dyDescent="0.25">
      <c r="B53" s="1">
        <v>11</v>
      </c>
      <c r="C53" s="1" t="s">
        <v>86</v>
      </c>
      <c r="D53" s="1">
        <v>0</v>
      </c>
      <c r="E53" s="1">
        <v>29320</v>
      </c>
      <c r="F53" s="1">
        <v>163660</v>
      </c>
      <c r="G53" s="14">
        <v>0</v>
      </c>
      <c r="H53" s="27">
        <v>0</v>
      </c>
      <c r="I53" s="14">
        <f t="shared" si="6"/>
        <v>192980</v>
      </c>
    </row>
    <row r="54" spans="2:9" x14ac:dyDescent="0.25">
      <c r="B54" s="1"/>
      <c r="C54" s="1" t="s">
        <v>108</v>
      </c>
      <c r="D54" s="1">
        <v>0</v>
      </c>
      <c r="E54" s="1">
        <v>0</v>
      </c>
      <c r="F54" s="1">
        <v>0</v>
      </c>
      <c r="G54" s="14">
        <v>0</v>
      </c>
      <c r="H54" s="27">
        <v>50980</v>
      </c>
      <c r="I54" s="14">
        <f t="shared" si="6"/>
        <v>50980</v>
      </c>
    </row>
    <row r="55" spans="2:9" x14ac:dyDescent="0.25">
      <c r="B55" s="1">
        <v>12</v>
      </c>
      <c r="C55" s="1" t="s">
        <v>87</v>
      </c>
      <c r="D55" s="1">
        <v>0</v>
      </c>
      <c r="E55" s="1">
        <v>587550</v>
      </c>
      <c r="F55" s="1">
        <v>0</v>
      </c>
      <c r="G55" s="14">
        <v>6150</v>
      </c>
      <c r="H55" s="27">
        <v>12025</v>
      </c>
      <c r="I55" s="14">
        <f t="shared" si="6"/>
        <v>605725</v>
      </c>
    </row>
    <row r="56" spans="2:9" x14ac:dyDescent="0.25">
      <c r="B56" s="1">
        <v>13</v>
      </c>
      <c r="C56" s="1" t="s">
        <v>88</v>
      </c>
      <c r="D56" s="1">
        <v>72009</v>
      </c>
      <c r="E56" s="1">
        <v>54200</v>
      </c>
      <c r="F56" s="1">
        <v>0</v>
      </c>
      <c r="G56" s="14">
        <v>7910</v>
      </c>
      <c r="H56" s="27">
        <v>16000</v>
      </c>
      <c r="I56" s="14">
        <f t="shared" si="6"/>
        <v>150119</v>
      </c>
    </row>
    <row r="57" spans="2:9" x14ac:dyDescent="0.25">
      <c r="B57" s="1">
        <v>14</v>
      </c>
      <c r="C57" s="1" t="s">
        <v>89</v>
      </c>
      <c r="D57" s="1">
        <v>69600</v>
      </c>
      <c r="E57" s="1">
        <v>9501</v>
      </c>
      <c r="F57" s="1">
        <v>15095</v>
      </c>
      <c r="G57" s="14">
        <v>651</v>
      </c>
      <c r="H57" s="14">
        <v>697</v>
      </c>
      <c r="I57" s="14">
        <f t="shared" si="6"/>
        <v>95544</v>
      </c>
    </row>
    <row r="58" spans="2:9" x14ac:dyDescent="0.25">
      <c r="B58" s="1">
        <v>14</v>
      </c>
      <c r="C58" s="1" t="s">
        <v>90</v>
      </c>
      <c r="D58" s="1">
        <v>100000</v>
      </c>
      <c r="E58" s="1">
        <v>0</v>
      </c>
      <c r="F58" s="1">
        <v>0</v>
      </c>
      <c r="G58" s="14">
        <v>0</v>
      </c>
      <c r="H58" s="14">
        <v>0</v>
      </c>
      <c r="I58" s="14">
        <f t="shared" si="6"/>
        <v>100000</v>
      </c>
    </row>
    <row r="59" spans="2:9" x14ac:dyDescent="0.25">
      <c r="B59" s="1">
        <v>15</v>
      </c>
      <c r="C59" s="1" t="s">
        <v>25</v>
      </c>
      <c r="D59" s="1">
        <v>0</v>
      </c>
      <c r="E59" s="1">
        <v>0</v>
      </c>
      <c r="F59" s="1">
        <v>0</v>
      </c>
      <c r="G59" s="14">
        <v>0</v>
      </c>
      <c r="H59" s="14">
        <f t="shared" ref="H59" si="7">SUM(D59:G59)</f>
        <v>0</v>
      </c>
      <c r="I59" s="14">
        <f t="shared" si="6"/>
        <v>0</v>
      </c>
    </row>
    <row r="60" spans="2:9" x14ac:dyDescent="0.25">
      <c r="B60" s="1"/>
      <c r="C60" s="3" t="s">
        <v>93</v>
      </c>
      <c r="D60" s="15">
        <f>SUM(D42:D58)</f>
        <v>457709</v>
      </c>
      <c r="E60" s="15">
        <f>SUM(E42:E58)</f>
        <v>1399571</v>
      </c>
      <c r="F60" s="15">
        <f>SUM(F42:F58)</f>
        <v>1263599</v>
      </c>
      <c r="G60" s="15">
        <f>SUM(G42:G59)</f>
        <v>2060598</v>
      </c>
      <c r="H60" s="15">
        <f>SUM(H42:H59)</f>
        <v>1231792</v>
      </c>
      <c r="I60" s="15">
        <f>SUM(I42:I59)</f>
        <v>6413269</v>
      </c>
    </row>
    <row r="61" spans="2:9" x14ac:dyDescent="0.25">
      <c r="B61" s="1"/>
      <c r="C61" s="3" t="s">
        <v>91</v>
      </c>
      <c r="D61" s="1"/>
      <c r="E61" s="1"/>
      <c r="F61" s="1"/>
      <c r="G61" s="1"/>
      <c r="H61" s="1"/>
      <c r="I61" s="1"/>
    </row>
    <row r="62" spans="2:9" x14ac:dyDescent="0.25">
      <c r="B62" s="1">
        <v>16</v>
      </c>
      <c r="C62" s="1" t="s">
        <v>92</v>
      </c>
      <c r="D62" s="1">
        <v>0</v>
      </c>
      <c r="E62" s="1">
        <v>4000</v>
      </c>
      <c r="F62" s="1">
        <v>4000</v>
      </c>
      <c r="G62" s="14">
        <v>4000</v>
      </c>
      <c r="H62" s="27">
        <v>4000</v>
      </c>
      <c r="I62" s="14">
        <f>SUM(D62:H62)</f>
        <v>16000</v>
      </c>
    </row>
    <row r="63" spans="2:9" x14ac:dyDescent="0.25">
      <c r="B63" s="1">
        <v>17</v>
      </c>
      <c r="C63" s="1" t="s">
        <v>97</v>
      </c>
      <c r="D63" s="1">
        <v>70000</v>
      </c>
      <c r="E63" s="1">
        <v>70000</v>
      </c>
      <c r="F63" s="1">
        <v>70000</v>
      </c>
      <c r="G63" s="14">
        <v>73500</v>
      </c>
      <c r="H63" s="27">
        <v>116000</v>
      </c>
      <c r="I63" s="14">
        <f t="shared" ref="I63:I66" si="8">SUM(D63:H63)</f>
        <v>399500</v>
      </c>
    </row>
    <row r="64" spans="2:9" x14ac:dyDescent="0.25">
      <c r="B64" s="1">
        <v>18</v>
      </c>
      <c r="C64" s="1" t="s">
        <v>98</v>
      </c>
      <c r="D64" s="1">
        <v>0</v>
      </c>
      <c r="E64" s="1">
        <v>900</v>
      </c>
      <c r="F64" s="1">
        <v>1800</v>
      </c>
      <c r="G64" s="14">
        <v>1705</v>
      </c>
      <c r="H64" s="27">
        <v>1359</v>
      </c>
      <c r="I64" s="14">
        <f t="shared" si="8"/>
        <v>5764</v>
      </c>
    </row>
    <row r="65" spans="2:10" x14ac:dyDescent="0.25">
      <c r="B65" s="1">
        <v>19</v>
      </c>
      <c r="C65" s="1" t="s">
        <v>46</v>
      </c>
      <c r="D65" s="1">
        <v>0</v>
      </c>
      <c r="E65" s="1">
        <v>1226</v>
      </c>
      <c r="F65" s="1">
        <v>5355</v>
      </c>
      <c r="G65" s="14">
        <v>4060</v>
      </c>
      <c r="H65" s="27">
        <v>3335</v>
      </c>
      <c r="I65" s="14">
        <f t="shared" si="8"/>
        <v>13976</v>
      </c>
    </row>
    <row r="66" spans="2:10" x14ac:dyDescent="0.25">
      <c r="B66" s="1">
        <v>20</v>
      </c>
      <c r="C66" s="1" t="s">
        <v>14</v>
      </c>
      <c r="D66" s="1">
        <v>0</v>
      </c>
      <c r="E66" s="1">
        <v>5080</v>
      </c>
      <c r="F66" s="1">
        <v>16767</v>
      </c>
      <c r="G66" s="14">
        <v>3890</v>
      </c>
      <c r="H66" s="27">
        <v>2423</v>
      </c>
      <c r="I66" s="14">
        <f t="shared" si="8"/>
        <v>28160</v>
      </c>
      <c r="J66" s="26"/>
    </row>
    <row r="67" spans="2:10" x14ac:dyDescent="0.25">
      <c r="B67" s="1"/>
      <c r="C67" s="3" t="s">
        <v>93</v>
      </c>
      <c r="D67" s="15">
        <f>SUM(D62:D66)</f>
        <v>70000</v>
      </c>
      <c r="E67" s="15">
        <f>SUM(E62:E66)</f>
        <v>81206</v>
      </c>
      <c r="F67" s="15">
        <f>SUM(F62:F66)</f>
        <v>97922</v>
      </c>
      <c r="G67" s="15">
        <f>SUM(G62:G66)</f>
        <v>87155</v>
      </c>
      <c r="H67" s="28">
        <f>SUM(H62:H66)</f>
        <v>127117</v>
      </c>
      <c r="I67" s="15">
        <f>SUM(D67:H67)</f>
        <v>463400</v>
      </c>
    </row>
    <row r="68" spans="2:10" ht="15.75" x14ac:dyDescent="0.25">
      <c r="B68" s="1"/>
      <c r="C68" s="8" t="s">
        <v>94</v>
      </c>
      <c r="D68" s="16">
        <f t="shared" ref="D68:I68" si="9">D60+D67</f>
        <v>527709</v>
      </c>
      <c r="E68" s="16">
        <f t="shared" si="9"/>
        <v>1480777</v>
      </c>
      <c r="F68" s="16">
        <f t="shared" si="9"/>
        <v>1361521</v>
      </c>
      <c r="G68" s="16">
        <f t="shared" si="9"/>
        <v>2147753</v>
      </c>
      <c r="H68" s="16">
        <f t="shared" si="9"/>
        <v>1358909</v>
      </c>
      <c r="I68" s="16">
        <f t="shared" si="9"/>
        <v>6876669</v>
      </c>
    </row>
    <row r="69" spans="2:10" ht="16.5" thickBot="1" x14ac:dyDescent="0.3">
      <c r="B69" s="22"/>
      <c r="C69" s="23"/>
      <c r="D69" s="24"/>
      <c r="E69" s="24"/>
      <c r="F69" s="24"/>
      <c r="G69" s="24"/>
      <c r="H69" s="24"/>
      <c r="I69" s="24"/>
    </row>
    <row r="70" spans="2:10" ht="15.75" thickBot="1" x14ac:dyDescent="0.3">
      <c r="C70" s="18"/>
      <c r="D70" s="29">
        <v>42064</v>
      </c>
      <c r="E70" s="30">
        <v>42095</v>
      </c>
      <c r="F70" s="30">
        <v>42125</v>
      </c>
      <c r="G70" s="13">
        <v>42156</v>
      </c>
    </row>
    <row r="71" spans="2:10" x14ac:dyDescent="0.25">
      <c r="C71" s="19" t="s">
        <v>99</v>
      </c>
      <c r="D71" s="19" t="s">
        <v>103</v>
      </c>
      <c r="E71" s="19" t="s">
        <v>100</v>
      </c>
      <c r="F71" s="31" t="s">
        <v>112</v>
      </c>
      <c r="G71" s="1"/>
    </row>
    <row r="72" spans="2:10" x14ac:dyDescent="0.25">
      <c r="C72" s="20" t="s">
        <v>85</v>
      </c>
      <c r="D72" s="20" t="s">
        <v>104</v>
      </c>
      <c r="E72" s="20" t="s">
        <v>101</v>
      </c>
      <c r="F72" s="32" t="s">
        <v>104</v>
      </c>
      <c r="G72" s="1"/>
    </row>
    <row r="73" spans="2:10" ht="15.75" thickBot="1" x14ac:dyDescent="0.3">
      <c r="C73" s="21" t="s">
        <v>40</v>
      </c>
      <c r="D73" s="21" t="s">
        <v>105</v>
      </c>
      <c r="E73" s="21" t="s">
        <v>102</v>
      </c>
      <c r="F73" s="33" t="s">
        <v>113</v>
      </c>
      <c r="G73" s="1"/>
    </row>
    <row r="74" spans="2:10" x14ac:dyDescent="0.25">
      <c r="C74" s="25"/>
      <c r="D74" s="22"/>
      <c r="E74" s="22"/>
    </row>
    <row r="75" spans="2:10" x14ac:dyDescent="0.25">
      <c r="C75" s="25"/>
      <c r="D75" s="22"/>
      <c r="E75" s="22"/>
    </row>
  </sheetData>
  <mergeCells count="12">
    <mergeCell ref="J7:K7"/>
    <mergeCell ref="L7:L8"/>
    <mergeCell ref="B7:B8"/>
    <mergeCell ref="A2:L2"/>
    <mergeCell ref="A3:L3"/>
    <mergeCell ref="A4:L4"/>
    <mergeCell ref="A5:L5"/>
    <mergeCell ref="A7:A8"/>
    <mergeCell ref="D7:D8"/>
    <mergeCell ref="E7:E8"/>
    <mergeCell ref="F7:G7"/>
    <mergeCell ref="H7:I7"/>
  </mergeCells>
  <pageMargins left="0.7" right="0.7" top="0.75" bottom="0.75" header="0.3" footer="0.3"/>
  <pageSetup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52"/>
  <sheetViews>
    <sheetView topLeftCell="A160" workbookViewId="0">
      <selection activeCell="A136" sqref="A136:F152"/>
    </sheetView>
  </sheetViews>
  <sheetFormatPr defaultRowHeight="15" x14ac:dyDescent="0.25"/>
  <cols>
    <col min="1" max="1" width="5.5703125" customWidth="1"/>
    <col min="2" max="2" width="33" customWidth="1"/>
    <col min="3" max="3" width="11.42578125" customWidth="1"/>
    <col min="4" max="4" width="11.5703125" customWidth="1"/>
    <col min="5" max="5" width="11.28515625" customWidth="1"/>
    <col min="6" max="6" width="12.85546875" customWidth="1"/>
    <col min="7" max="7" width="11.7109375" customWidth="1"/>
    <col min="8" max="8" width="11.28515625" customWidth="1"/>
    <col min="9" max="9" width="12.85546875" customWidth="1"/>
  </cols>
  <sheetData>
    <row r="2" spans="1:9" ht="18.75" x14ac:dyDescent="0.3">
      <c r="B2" s="5" t="s">
        <v>80</v>
      </c>
      <c r="C2" s="12"/>
    </row>
    <row r="3" spans="1:9" ht="18.75" x14ac:dyDescent="0.3">
      <c r="B3" s="5" t="s">
        <v>64</v>
      </c>
      <c r="C3" s="12"/>
    </row>
    <row r="4" spans="1:9" ht="18.75" x14ac:dyDescent="0.3">
      <c r="B4" s="5" t="s">
        <v>121</v>
      </c>
      <c r="C4" s="12"/>
    </row>
    <row r="5" spans="1:9" ht="15.75" x14ac:dyDescent="0.25">
      <c r="A5" s="1" t="s">
        <v>21</v>
      </c>
      <c r="B5" s="8" t="s">
        <v>6</v>
      </c>
      <c r="C5" s="13">
        <v>42005</v>
      </c>
      <c r="D5" s="13">
        <v>42036</v>
      </c>
      <c r="E5" s="13">
        <v>42064</v>
      </c>
      <c r="F5" s="13">
        <v>42095</v>
      </c>
      <c r="G5" s="13">
        <v>42125</v>
      </c>
      <c r="H5" s="13">
        <v>42156</v>
      </c>
      <c r="I5" s="1" t="s">
        <v>81</v>
      </c>
    </row>
    <row r="6" spans="1:9" x14ac:dyDescent="0.25">
      <c r="A6" s="1">
        <v>1</v>
      </c>
      <c r="B6" s="1" t="s">
        <v>83</v>
      </c>
      <c r="C6" s="1">
        <v>16100</v>
      </c>
      <c r="D6" s="1">
        <v>0</v>
      </c>
      <c r="E6" s="1">
        <v>0</v>
      </c>
      <c r="F6" s="14">
        <v>0</v>
      </c>
      <c r="G6" s="27">
        <v>0</v>
      </c>
      <c r="H6" s="27">
        <v>0</v>
      </c>
      <c r="I6" s="14">
        <f>SUM(C6:H6)</f>
        <v>16100</v>
      </c>
    </row>
    <row r="7" spans="1:9" ht="15.75" x14ac:dyDescent="0.25">
      <c r="A7" s="1">
        <v>2</v>
      </c>
      <c r="B7" s="17" t="s">
        <v>95</v>
      </c>
      <c r="C7" s="1">
        <v>200000</v>
      </c>
      <c r="D7" s="1">
        <v>615400</v>
      </c>
      <c r="E7" s="1">
        <v>0</v>
      </c>
      <c r="F7" s="14">
        <v>3500</v>
      </c>
      <c r="G7" s="27">
        <v>1500</v>
      </c>
      <c r="H7" s="27">
        <v>0</v>
      </c>
      <c r="I7" s="14">
        <f t="shared" ref="I7:I24" si="0">SUM(C7:H7)</f>
        <v>820400</v>
      </c>
    </row>
    <row r="8" spans="1:9" x14ac:dyDescent="0.25">
      <c r="A8" s="1">
        <v>3</v>
      </c>
      <c r="B8" s="1" t="s">
        <v>82</v>
      </c>
      <c r="C8" s="1">
        <v>0</v>
      </c>
      <c r="D8" s="1">
        <v>103540</v>
      </c>
      <c r="E8" s="1">
        <v>0</v>
      </c>
      <c r="F8" s="14">
        <v>0</v>
      </c>
      <c r="G8" s="27">
        <v>0</v>
      </c>
      <c r="H8" s="27">
        <v>0</v>
      </c>
      <c r="I8" s="14">
        <f t="shared" si="0"/>
        <v>103540</v>
      </c>
    </row>
    <row r="9" spans="1:9" x14ac:dyDescent="0.25">
      <c r="A9" s="1">
        <v>4</v>
      </c>
      <c r="B9" s="1" t="s">
        <v>107</v>
      </c>
      <c r="C9" s="1">
        <v>0</v>
      </c>
      <c r="D9" s="1">
        <v>0</v>
      </c>
      <c r="E9" s="1">
        <v>100000</v>
      </c>
      <c r="F9" s="14">
        <v>220120</v>
      </c>
      <c r="G9" s="27">
        <v>0</v>
      </c>
      <c r="H9" s="27">
        <v>0</v>
      </c>
      <c r="I9" s="14">
        <f t="shared" si="0"/>
        <v>320120</v>
      </c>
    </row>
    <row r="10" spans="1:9" x14ac:dyDescent="0.25">
      <c r="A10" s="1"/>
      <c r="B10" s="1" t="s">
        <v>116</v>
      </c>
      <c r="C10" s="1"/>
      <c r="D10" s="1"/>
      <c r="E10" s="1"/>
      <c r="F10" s="14"/>
      <c r="G10" s="27">
        <v>120650</v>
      </c>
      <c r="H10" s="27">
        <v>232750</v>
      </c>
      <c r="I10" s="14">
        <f t="shared" si="0"/>
        <v>353400</v>
      </c>
    </row>
    <row r="11" spans="1:9" x14ac:dyDescent="0.25">
      <c r="A11" s="1">
        <v>5</v>
      </c>
      <c r="B11" s="1" t="s">
        <v>84</v>
      </c>
      <c r="C11" s="1">
        <v>0</v>
      </c>
      <c r="D11" s="1">
        <v>60</v>
      </c>
      <c r="E11" s="1">
        <v>68836</v>
      </c>
      <c r="F11" s="14">
        <v>14190</v>
      </c>
      <c r="G11" s="27">
        <v>15430</v>
      </c>
      <c r="H11" s="27">
        <v>22950</v>
      </c>
      <c r="I11" s="14">
        <f t="shared" si="0"/>
        <v>121466</v>
      </c>
    </row>
    <row r="12" spans="1:9" x14ac:dyDescent="0.25">
      <c r="A12" s="1">
        <v>6</v>
      </c>
      <c r="B12" s="1" t="s">
        <v>109</v>
      </c>
      <c r="C12" s="1">
        <v>0</v>
      </c>
      <c r="D12" s="1">
        <v>0</v>
      </c>
      <c r="E12" s="1">
        <v>539000</v>
      </c>
      <c r="F12" s="14">
        <v>811750</v>
      </c>
      <c r="G12" s="27">
        <v>542400</v>
      </c>
      <c r="H12" s="27">
        <v>651600</v>
      </c>
      <c r="I12" s="14">
        <f t="shared" si="0"/>
        <v>2544750</v>
      </c>
    </row>
    <row r="13" spans="1:9" x14ac:dyDescent="0.25">
      <c r="A13" s="1">
        <v>7</v>
      </c>
      <c r="B13" s="1" t="s">
        <v>37</v>
      </c>
      <c r="C13" s="1">
        <v>0</v>
      </c>
      <c r="D13" s="1">
        <v>0</v>
      </c>
      <c r="E13" s="1">
        <v>193020</v>
      </c>
      <c r="F13" s="14">
        <v>374300</v>
      </c>
      <c r="G13" s="27">
        <v>164000</v>
      </c>
      <c r="H13" s="27">
        <v>389500</v>
      </c>
      <c r="I13" s="14">
        <f t="shared" si="0"/>
        <v>1120820</v>
      </c>
    </row>
    <row r="14" spans="1:9" x14ac:dyDescent="0.25">
      <c r="A14" s="1">
        <v>8</v>
      </c>
      <c r="B14" s="1" t="s">
        <v>111</v>
      </c>
      <c r="C14" s="1">
        <v>0</v>
      </c>
      <c r="D14" s="1">
        <v>0</v>
      </c>
      <c r="E14" s="1">
        <v>72028</v>
      </c>
      <c r="F14" s="14">
        <v>436607</v>
      </c>
      <c r="G14" s="27">
        <v>192760</v>
      </c>
      <c r="H14" s="27">
        <v>403462</v>
      </c>
      <c r="I14" s="14">
        <f t="shared" si="0"/>
        <v>1104857</v>
      </c>
    </row>
    <row r="15" spans="1:9" x14ac:dyDescent="0.25">
      <c r="A15" s="1">
        <v>9</v>
      </c>
      <c r="B15" s="1" t="s">
        <v>96</v>
      </c>
      <c r="C15" s="1">
        <v>0</v>
      </c>
      <c r="D15" s="1">
        <v>0</v>
      </c>
      <c r="E15" s="1">
        <v>0</v>
      </c>
      <c r="F15" s="14"/>
      <c r="G15" s="27">
        <v>88750</v>
      </c>
      <c r="H15" s="27"/>
      <c r="I15" s="14">
        <f t="shared" si="0"/>
        <v>88750</v>
      </c>
    </row>
    <row r="16" spans="1:9" x14ac:dyDescent="0.25">
      <c r="A16" s="1">
        <v>10</v>
      </c>
      <c r="B16" s="1" t="s">
        <v>110</v>
      </c>
      <c r="C16" s="1">
        <v>0</v>
      </c>
      <c r="D16" s="1">
        <v>0</v>
      </c>
      <c r="E16" s="1">
        <v>111960</v>
      </c>
      <c r="F16" s="14">
        <v>185420</v>
      </c>
      <c r="G16" s="27">
        <v>26600</v>
      </c>
      <c r="H16" s="27">
        <v>22600</v>
      </c>
      <c r="I16" s="14">
        <f t="shared" si="0"/>
        <v>346580</v>
      </c>
    </row>
    <row r="17" spans="1:9" x14ac:dyDescent="0.25">
      <c r="A17" s="1">
        <v>11</v>
      </c>
      <c r="B17" s="1" t="s">
        <v>86</v>
      </c>
      <c r="C17" s="1">
        <v>0</v>
      </c>
      <c r="D17" s="1">
        <v>29320</v>
      </c>
      <c r="E17" s="1">
        <v>163660</v>
      </c>
      <c r="F17" s="14">
        <v>0</v>
      </c>
      <c r="G17" s="27">
        <v>0</v>
      </c>
      <c r="H17" s="27"/>
      <c r="I17" s="14">
        <f t="shared" si="0"/>
        <v>192980</v>
      </c>
    </row>
    <row r="18" spans="1:9" x14ac:dyDescent="0.25">
      <c r="A18" s="1"/>
      <c r="B18" s="1" t="s">
        <v>108</v>
      </c>
      <c r="C18" s="1">
        <v>0</v>
      </c>
      <c r="D18" s="1">
        <v>0</v>
      </c>
      <c r="E18" s="1">
        <v>0</v>
      </c>
      <c r="F18" s="14">
        <v>0</v>
      </c>
      <c r="G18" s="27">
        <v>50980</v>
      </c>
      <c r="H18" s="27"/>
      <c r="I18" s="14">
        <f t="shared" si="0"/>
        <v>50980</v>
      </c>
    </row>
    <row r="19" spans="1:9" x14ac:dyDescent="0.25">
      <c r="A19" s="1"/>
      <c r="B19" s="1" t="s">
        <v>119</v>
      </c>
      <c r="C19" s="1">
        <v>0</v>
      </c>
      <c r="D19" s="1">
        <v>0</v>
      </c>
      <c r="E19" s="1">
        <v>0</v>
      </c>
      <c r="F19" s="14">
        <v>0</v>
      </c>
      <c r="G19" s="27">
        <v>0</v>
      </c>
      <c r="H19" s="27">
        <v>23369</v>
      </c>
      <c r="I19" s="14">
        <f t="shared" si="0"/>
        <v>23369</v>
      </c>
    </row>
    <row r="20" spans="1:9" x14ac:dyDescent="0.25">
      <c r="A20" s="1">
        <v>12</v>
      </c>
      <c r="B20" s="1" t="s">
        <v>87</v>
      </c>
      <c r="C20" s="1">
        <v>0</v>
      </c>
      <c r="D20" s="1">
        <v>587550</v>
      </c>
      <c r="E20" s="1">
        <v>0</v>
      </c>
      <c r="F20" s="14">
        <v>6150</v>
      </c>
      <c r="G20" s="27">
        <v>12025</v>
      </c>
      <c r="H20" s="27"/>
      <c r="I20" s="14">
        <f t="shared" si="0"/>
        <v>605725</v>
      </c>
    </row>
    <row r="21" spans="1:9" x14ac:dyDescent="0.25">
      <c r="A21" s="1">
        <v>13</v>
      </c>
      <c r="B21" s="1" t="s">
        <v>88</v>
      </c>
      <c r="C21" s="1">
        <v>72009</v>
      </c>
      <c r="D21" s="1">
        <v>54200</v>
      </c>
      <c r="E21" s="1">
        <v>0</v>
      </c>
      <c r="F21" s="14">
        <v>7910</v>
      </c>
      <c r="G21" s="27">
        <v>16000</v>
      </c>
      <c r="H21" s="27"/>
      <c r="I21" s="14">
        <f t="shared" si="0"/>
        <v>150119</v>
      </c>
    </row>
    <row r="22" spans="1:9" x14ac:dyDescent="0.25">
      <c r="A22" s="1">
        <v>14</v>
      </c>
      <c r="B22" s="1" t="s">
        <v>89</v>
      </c>
      <c r="C22" s="1">
        <v>69600</v>
      </c>
      <c r="D22" s="1">
        <v>9501</v>
      </c>
      <c r="E22" s="1">
        <v>15095</v>
      </c>
      <c r="F22" s="14">
        <v>651</v>
      </c>
      <c r="G22" s="14">
        <v>697</v>
      </c>
      <c r="H22" s="14">
        <v>60</v>
      </c>
      <c r="I22" s="14">
        <f t="shared" si="0"/>
        <v>95604</v>
      </c>
    </row>
    <row r="23" spans="1:9" x14ac:dyDescent="0.25">
      <c r="A23" s="1">
        <v>14</v>
      </c>
      <c r="B23" s="1" t="s">
        <v>90</v>
      </c>
      <c r="C23" s="1">
        <v>100000</v>
      </c>
      <c r="D23" s="1">
        <v>0</v>
      </c>
      <c r="E23" s="1">
        <v>0</v>
      </c>
      <c r="F23" s="14">
        <v>0</v>
      </c>
      <c r="G23" s="14">
        <v>0</v>
      </c>
      <c r="H23" s="14">
        <v>0</v>
      </c>
      <c r="I23" s="14">
        <f t="shared" si="0"/>
        <v>100000</v>
      </c>
    </row>
    <row r="24" spans="1:9" x14ac:dyDescent="0.25">
      <c r="A24" s="1">
        <v>15</v>
      </c>
      <c r="B24" s="1" t="s">
        <v>120</v>
      </c>
      <c r="C24" s="1">
        <v>0</v>
      </c>
      <c r="D24" s="1">
        <v>0</v>
      </c>
      <c r="E24" s="1">
        <v>0</v>
      </c>
      <c r="F24" s="14">
        <v>0</v>
      </c>
      <c r="G24" s="14">
        <f t="shared" ref="G24" si="1">SUM(B24:E24)</f>
        <v>0</v>
      </c>
      <c r="H24" s="14">
        <v>50483</v>
      </c>
      <c r="I24" s="14">
        <f t="shared" si="0"/>
        <v>50483</v>
      </c>
    </row>
    <row r="25" spans="1:9" x14ac:dyDescent="0.25">
      <c r="A25" s="1"/>
      <c r="B25" s="3" t="s">
        <v>93</v>
      </c>
      <c r="C25" s="15">
        <f>SUM(C6:C23)</f>
        <v>457709</v>
      </c>
      <c r="D25" s="15">
        <f>SUM(D6:D23)</f>
        <v>1399571</v>
      </c>
      <c r="E25" s="15">
        <f>SUM(E6:E23)</f>
        <v>1263599</v>
      </c>
      <c r="F25" s="15">
        <f>SUM(F6:F24)</f>
        <v>2060598</v>
      </c>
      <c r="G25" s="15">
        <f>SUM(G6:G24)</f>
        <v>1231792</v>
      </c>
      <c r="H25" s="15">
        <f>SUM(H6:H24)</f>
        <v>1796774</v>
      </c>
      <c r="I25" s="15">
        <f>SUM(I6:I24)</f>
        <v>8210043</v>
      </c>
    </row>
    <row r="26" spans="1:9" x14ac:dyDescent="0.25">
      <c r="A26" s="1"/>
      <c r="B26" s="3" t="s">
        <v>91</v>
      </c>
      <c r="C26" s="1"/>
      <c r="D26" s="1"/>
      <c r="E26" s="1"/>
      <c r="F26" s="1"/>
      <c r="G26" s="1"/>
      <c r="H26" s="1"/>
      <c r="I26" s="1"/>
    </row>
    <row r="27" spans="1:9" x14ac:dyDescent="0.25">
      <c r="A27" s="1">
        <v>16</v>
      </c>
      <c r="B27" s="1" t="s">
        <v>92</v>
      </c>
      <c r="C27" s="1">
        <v>0</v>
      </c>
      <c r="D27" s="1">
        <v>4000</v>
      </c>
      <c r="E27" s="1">
        <v>4000</v>
      </c>
      <c r="F27" s="14">
        <v>4000</v>
      </c>
      <c r="G27" s="27">
        <v>4000</v>
      </c>
      <c r="H27" s="27">
        <v>4400</v>
      </c>
      <c r="I27" s="14">
        <f>SUM(C27:H27)</f>
        <v>20400</v>
      </c>
    </row>
    <row r="28" spans="1:9" x14ac:dyDescent="0.25">
      <c r="A28" s="1">
        <v>17</v>
      </c>
      <c r="B28" s="1" t="s">
        <v>97</v>
      </c>
      <c r="C28" s="1">
        <v>70000</v>
      </c>
      <c r="D28" s="1">
        <v>70000</v>
      </c>
      <c r="E28" s="1">
        <v>70000</v>
      </c>
      <c r="F28" s="14">
        <v>73500</v>
      </c>
      <c r="G28" s="27">
        <v>116000</v>
      </c>
      <c r="H28" s="27">
        <v>94225</v>
      </c>
      <c r="I28" s="14">
        <f t="shared" ref="I28:I31" si="2">SUM(C28:H28)</f>
        <v>493725</v>
      </c>
    </row>
    <row r="29" spans="1:9" x14ac:dyDescent="0.25">
      <c r="A29" s="1">
        <v>18</v>
      </c>
      <c r="B29" s="1" t="s">
        <v>98</v>
      </c>
      <c r="C29" s="1">
        <v>0</v>
      </c>
      <c r="D29" s="1">
        <v>900</v>
      </c>
      <c r="E29" s="1">
        <v>1800</v>
      </c>
      <c r="F29" s="14">
        <v>1705</v>
      </c>
      <c r="G29" s="27">
        <v>1359</v>
      </c>
      <c r="H29" s="27">
        <v>370</v>
      </c>
      <c r="I29" s="14">
        <f t="shared" si="2"/>
        <v>6134</v>
      </c>
    </row>
    <row r="30" spans="1:9" x14ac:dyDescent="0.25">
      <c r="A30" s="1">
        <v>19</v>
      </c>
      <c r="B30" s="1" t="s">
        <v>46</v>
      </c>
      <c r="C30" s="1">
        <v>0</v>
      </c>
      <c r="D30" s="1">
        <v>1226</v>
      </c>
      <c r="E30" s="1">
        <v>5355</v>
      </c>
      <c r="F30" s="14">
        <v>4060</v>
      </c>
      <c r="G30" s="27">
        <v>3335</v>
      </c>
      <c r="H30" s="27">
        <v>4150</v>
      </c>
      <c r="I30" s="14">
        <f t="shared" si="2"/>
        <v>18126</v>
      </c>
    </row>
    <row r="31" spans="1:9" x14ac:dyDescent="0.25">
      <c r="A31" s="1">
        <v>20</v>
      </c>
      <c r="B31" s="1" t="s">
        <v>14</v>
      </c>
      <c r="C31" s="1">
        <v>0</v>
      </c>
      <c r="D31" s="1">
        <v>5080</v>
      </c>
      <c r="E31" s="1">
        <v>16767</v>
      </c>
      <c r="F31" s="14">
        <v>3890</v>
      </c>
      <c r="G31" s="27">
        <v>2423</v>
      </c>
      <c r="H31" s="27">
        <v>1780</v>
      </c>
      <c r="I31" s="14">
        <f t="shared" si="2"/>
        <v>29940</v>
      </c>
    </row>
    <row r="32" spans="1:9" x14ac:dyDescent="0.25">
      <c r="A32" s="1"/>
      <c r="B32" s="3" t="s">
        <v>93</v>
      </c>
      <c r="C32" s="15">
        <f t="shared" ref="C32:G32" si="3">SUM(C27:C31)</f>
        <v>70000</v>
      </c>
      <c r="D32" s="15">
        <f t="shared" si="3"/>
        <v>81206</v>
      </c>
      <c r="E32" s="15">
        <f t="shared" si="3"/>
        <v>97922</v>
      </c>
      <c r="F32" s="15">
        <f t="shared" si="3"/>
        <v>87155</v>
      </c>
      <c r="G32" s="28">
        <f t="shared" si="3"/>
        <v>127117</v>
      </c>
      <c r="H32" s="28">
        <f>SUM(H27:H31)</f>
        <v>104925</v>
      </c>
      <c r="I32" s="15">
        <f>SUM(C32:H32)</f>
        <v>568325</v>
      </c>
    </row>
    <row r="33" spans="1:9" ht="15.75" x14ac:dyDescent="0.25">
      <c r="A33" s="1"/>
      <c r="B33" s="8" t="s">
        <v>94</v>
      </c>
      <c r="C33" s="16">
        <f t="shared" ref="C33:I33" si="4">C25+C32</f>
        <v>527709</v>
      </c>
      <c r="D33" s="16">
        <f t="shared" si="4"/>
        <v>1480777</v>
      </c>
      <c r="E33" s="16">
        <f t="shared" si="4"/>
        <v>1361521</v>
      </c>
      <c r="F33" s="16">
        <f t="shared" si="4"/>
        <v>2147753</v>
      </c>
      <c r="G33" s="16">
        <f t="shared" ref="G33:H33" si="5">G25+G32</f>
        <v>1358909</v>
      </c>
      <c r="H33" s="16">
        <f t="shared" si="5"/>
        <v>1901699</v>
      </c>
      <c r="I33" s="16">
        <f t="shared" si="4"/>
        <v>8778368</v>
      </c>
    </row>
    <row r="34" spans="1:9" ht="16.5" thickBot="1" x14ac:dyDescent="0.3">
      <c r="A34" s="22"/>
      <c r="B34" s="23"/>
      <c r="C34" s="24"/>
      <c r="D34" s="24"/>
      <c r="E34" s="24"/>
      <c r="F34" s="24"/>
      <c r="G34" s="24"/>
      <c r="H34" s="24"/>
      <c r="I34" s="24"/>
    </row>
    <row r="35" spans="1:9" ht="15.75" thickBot="1" x14ac:dyDescent="0.3">
      <c r="B35" s="35" t="s">
        <v>6</v>
      </c>
      <c r="C35" s="35">
        <v>42064</v>
      </c>
      <c r="D35" s="36">
        <v>42095</v>
      </c>
      <c r="E35" s="36">
        <v>42125</v>
      </c>
      <c r="F35" s="37">
        <v>42156</v>
      </c>
      <c r="G35" s="34"/>
    </row>
    <row r="36" spans="1:9" x14ac:dyDescent="0.25">
      <c r="B36" s="39" t="s">
        <v>99</v>
      </c>
      <c r="C36" s="40" t="s">
        <v>103</v>
      </c>
      <c r="D36" s="40" t="s">
        <v>100</v>
      </c>
      <c r="E36" s="41" t="s">
        <v>112</v>
      </c>
      <c r="F36" s="42" t="s">
        <v>118</v>
      </c>
      <c r="G36" s="22"/>
    </row>
    <row r="37" spans="1:9" x14ac:dyDescent="0.25">
      <c r="B37" s="43" t="s">
        <v>85</v>
      </c>
      <c r="C37" s="1" t="s">
        <v>104</v>
      </c>
      <c r="D37" s="1" t="s">
        <v>101</v>
      </c>
      <c r="E37" s="38" t="s">
        <v>104</v>
      </c>
      <c r="F37" s="44" t="s">
        <v>117</v>
      </c>
      <c r="G37" s="22"/>
    </row>
    <row r="38" spans="1:9" ht="15.75" thickBot="1" x14ac:dyDescent="0.3">
      <c r="B38" s="45" t="s">
        <v>40</v>
      </c>
      <c r="C38" s="46" t="s">
        <v>105</v>
      </c>
      <c r="D38" s="46" t="s">
        <v>102</v>
      </c>
      <c r="E38" s="47" t="s">
        <v>113</v>
      </c>
      <c r="F38" s="48" t="s">
        <v>115</v>
      </c>
      <c r="G38" s="22"/>
    </row>
    <row r="69" spans="1:9" ht="18.75" x14ac:dyDescent="0.3">
      <c r="B69" s="5" t="s">
        <v>80</v>
      </c>
      <c r="C69" s="12"/>
    </row>
    <row r="70" spans="1:9" ht="18.75" x14ac:dyDescent="0.3">
      <c r="B70" s="5" t="s">
        <v>64</v>
      </c>
      <c r="C70" s="12"/>
    </row>
    <row r="71" spans="1:9" ht="18.75" x14ac:dyDescent="0.3">
      <c r="B71" s="5" t="s">
        <v>122</v>
      </c>
      <c r="C71" s="12"/>
    </row>
    <row r="72" spans="1:9" ht="15.75" x14ac:dyDescent="0.25">
      <c r="A72" s="1" t="s">
        <v>21</v>
      </c>
      <c r="B72" s="8" t="s">
        <v>6</v>
      </c>
      <c r="C72" s="13">
        <v>42186</v>
      </c>
      <c r="D72" s="13">
        <v>42217</v>
      </c>
      <c r="E72" s="13">
        <v>42248</v>
      </c>
      <c r="F72" s="13">
        <v>42278</v>
      </c>
      <c r="G72" s="13">
        <v>42309</v>
      </c>
      <c r="H72" s="13">
        <v>42339</v>
      </c>
      <c r="I72" s="1" t="s">
        <v>81</v>
      </c>
    </row>
    <row r="73" spans="1:9" x14ac:dyDescent="0.25">
      <c r="A73" s="1">
        <v>1</v>
      </c>
      <c r="B73" s="1" t="s">
        <v>83</v>
      </c>
      <c r="C73" s="1"/>
      <c r="D73" s="1"/>
      <c r="E73" s="1"/>
      <c r="F73" s="14"/>
      <c r="G73" s="27"/>
      <c r="H73" s="27"/>
      <c r="I73" s="14">
        <f>SUM(C73:H73)</f>
        <v>0</v>
      </c>
    </row>
    <row r="74" spans="1:9" ht="15.75" x14ac:dyDescent="0.25">
      <c r="A74" s="1">
        <v>2</v>
      </c>
      <c r="B74" s="17" t="s">
        <v>95</v>
      </c>
      <c r="C74" s="1"/>
      <c r="D74" s="1"/>
      <c r="E74" s="1"/>
      <c r="F74" s="14"/>
      <c r="G74" s="27"/>
      <c r="H74" s="27"/>
      <c r="I74" s="14">
        <f t="shared" ref="I74:I91" si="6">SUM(C74:H74)</f>
        <v>0</v>
      </c>
    </row>
    <row r="75" spans="1:9" x14ac:dyDescent="0.25">
      <c r="A75" s="1">
        <v>3</v>
      </c>
      <c r="B75" s="1" t="s">
        <v>82</v>
      </c>
      <c r="C75" s="1"/>
      <c r="D75" s="1"/>
      <c r="E75" s="1"/>
      <c r="F75" s="14"/>
      <c r="G75" s="27"/>
      <c r="H75" s="27"/>
      <c r="I75" s="14">
        <f t="shared" si="6"/>
        <v>0</v>
      </c>
    </row>
    <row r="76" spans="1:9" x14ac:dyDescent="0.25">
      <c r="A76" s="1">
        <v>4</v>
      </c>
      <c r="B76" s="1" t="s">
        <v>107</v>
      </c>
      <c r="C76" s="1"/>
      <c r="D76" s="1"/>
      <c r="E76" s="1"/>
      <c r="F76" s="14"/>
      <c r="G76" s="27"/>
      <c r="H76" s="27"/>
      <c r="I76" s="14">
        <f t="shared" si="6"/>
        <v>0</v>
      </c>
    </row>
    <row r="77" spans="1:9" x14ac:dyDescent="0.25">
      <c r="A77" s="1"/>
      <c r="B77" s="1" t="s">
        <v>123</v>
      </c>
      <c r="C77" s="1">
        <v>171000</v>
      </c>
      <c r="D77" s="1">
        <v>17100</v>
      </c>
      <c r="E77" s="1"/>
      <c r="F77" s="14"/>
      <c r="G77" s="27"/>
      <c r="H77" s="27"/>
      <c r="I77" s="14">
        <f t="shared" si="6"/>
        <v>188100</v>
      </c>
    </row>
    <row r="78" spans="1:9" x14ac:dyDescent="0.25">
      <c r="A78" s="1">
        <v>5</v>
      </c>
      <c r="B78" s="1" t="s">
        <v>84</v>
      </c>
      <c r="C78" s="1">
        <v>19392</v>
      </c>
      <c r="D78" s="1"/>
      <c r="E78" s="1"/>
      <c r="F78" s="14"/>
      <c r="G78" s="27"/>
      <c r="H78" s="27"/>
      <c r="I78" s="14">
        <f t="shared" si="6"/>
        <v>19392</v>
      </c>
    </row>
    <row r="79" spans="1:9" x14ac:dyDescent="0.25">
      <c r="A79" s="1">
        <v>6</v>
      </c>
      <c r="B79" s="1" t="s">
        <v>109</v>
      </c>
      <c r="C79" s="1">
        <v>324400</v>
      </c>
      <c r="D79" s="1"/>
      <c r="E79" s="1"/>
      <c r="F79" s="14"/>
      <c r="G79" s="27"/>
      <c r="H79" s="27"/>
      <c r="I79" s="14">
        <f t="shared" si="6"/>
        <v>324400</v>
      </c>
    </row>
    <row r="80" spans="1:9" x14ac:dyDescent="0.25">
      <c r="A80" s="1">
        <v>7</v>
      </c>
      <c r="B80" s="1" t="s">
        <v>37</v>
      </c>
      <c r="C80" s="1">
        <v>156215</v>
      </c>
      <c r="D80" s="1"/>
      <c r="E80" s="1"/>
      <c r="F80" s="14"/>
      <c r="G80" s="27"/>
      <c r="H80" s="27"/>
      <c r="I80" s="14">
        <f t="shared" si="6"/>
        <v>156215</v>
      </c>
    </row>
    <row r="81" spans="1:9" x14ac:dyDescent="0.25">
      <c r="A81" s="1">
        <v>8</v>
      </c>
      <c r="B81" s="1" t="s">
        <v>111</v>
      </c>
      <c r="C81" s="1">
        <v>334905</v>
      </c>
      <c r="D81" s="1">
        <v>198000</v>
      </c>
      <c r="E81" s="1"/>
      <c r="F81" s="14"/>
      <c r="G81" s="27"/>
      <c r="H81" s="27"/>
      <c r="I81" s="14">
        <f t="shared" si="6"/>
        <v>532905</v>
      </c>
    </row>
    <row r="82" spans="1:9" x14ac:dyDescent="0.25">
      <c r="A82" s="1">
        <v>9</v>
      </c>
      <c r="B82" s="1" t="s">
        <v>96</v>
      </c>
      <c r="C82" s="1">
        <v>100000</v>
      </c>
      <c r="D82" s="1"/>
      <c r="E82" s="1"/>
      <c r="F82" s="14"/>
      <c r="G82" s="27"/>
      <c r="H82" s="27"/>
      <c r="I82" s="14">
        <f t="shared" si="6"/>
        <v>100000</v>
      </c>
    </row>
    <row r="83" spans="1:9" x14ac:dyDescent="0.25">
      <c r="A83" s="1">
        <v>10</v>
      </c>
      <c r="B83" s="1" t="s">
        <v>110</v>
      </c>
      <c r="C83" s="1">
        <v>26400</v>
      </c>
      <c r="D83" s="1"/>
      <c r="E83" s="1"/>
      <c r="F83" s="14"/>
      <c r="G83" s="27"/>
      <c r="H83" s="27"/>
      <c r="I83" s="14">
        <f t="shared" si="6"/>
        <v>26400</v>
      </c>
    </row>
    <row r="84" spans="1:9" x14ac:dyDescent="0.25">
      <c r="A84" s="1">
        <v>11</v>
      </c>
      <c r="B84" s="1" t="s">
        <v>86</v>
      </c>
      <c r="C84" s="1"/>
      <c r="D84" s="1"/>
      <c r="E84" s="1"/>
      <c r="F84" s="14"/>
      <c r="G84" s="27"/>
      <c r="H84" s="27"/>
      <c r="I84" s="14">
        <f t="shared" si="6"/>
        <v>0</v>
      </c>
    </row>
    <row r="85" spans="1:9" x14ac:dyDescent="0.25">
      <c r="A85" s="1"/>
      <c r="B85" s="1" t="s">
        <v>108</v>
      </c>
      <c r="C85" s="1"/>
      <c r="D85" s="1"/>
      <c r="E85" s="1"/>
      <c r="F85" s="14"/>
      <c r="G85" s="27"/>
      <c r="H85" s="27"/>
      <c r="I85" s="14">
        <f t="shared" si="6"/>
        <v>0</v>
      </c>
    </row>
    <row r="86" spans="1:9" x14ac:dyDescent="0.25">
      <c r="A86" s="1"/>
      <c r="B86" s="1" t="s">
        <v>119</v>
      </c>
      <c r="C86" s="1">
        <v>18736</v>
      </c>
      <c r="D86" s="1">
        <v>15698</v>
      </c>
      <c r="E86" s="1"/>
      <c r="F86" s="14"/>
      <c r="G86" s="27"/>
      <c r="H86" s="27"/>
      <c r="I86" s="14">
        <f t="shared" si="6"/>
        <v>34434</v>
      </c>
    </row>
    <row r="87" spans="1:9" x14ac:dyDescent="0.25">
      <c r="A87" s="1">
        <v>12</v>
      </c>
      <c r="B87" s="1" t="s">
        <v>87</v>
      </c>
      <c r="C87" s="1"/>
      <c r="D87" s="1"/>
      <c r="E87" s="1"/>
      <c r="F87" s="14"/>
      <c r="G87" s="27"/>
      <c r="H87" s="27"/>
      <c r="I87" s="14">
        <f t="shared" si="6"/>
        <v>0</v>
      </c>
    </row>
    <row r="88" spans="1:9" x14ac:dyDescent="0.25">
      <c r="A88" s="1">
        <v>13</v>
      </c>
      <c r="B88" s="1" t="s">
        <v>88</v>
      </c>
      <c r="C88" s="1">
        <v>10000</v>
      </c>
      <c r="D88" s="1">
        <v>20000</v>
      </c>
      <c r="E88" s="1"/>
      <c r="F88" s="14"/>
      <c r="G88" s="27"/>
      <c r="H88" s="27"/>
      <c r="I88" s="14">
        <f t="shared" si="6"/>
        <v>30000</v>
      </c>
    </row>
    <row r="89" spans="1:9" x14ac:dyDescent="0.25">
      <c r="A89" s="1">
        <v>14</v>
      </c>
      <c r="B89" s="1" t="s">
        <v>89</v>
      </c>
      <c r="C89" s="1"/>
      <c r="D89" s="1"/>
      <c r="E89" s="1"/>
      <c r="F89" s="14"/>
      <c r="G89" s="14"/>
      <c r="H89" s="14"/>
      <c r="I89" s="14">
        <f t="shared" si="6"/>
        <v>0</v>
      </c>
    </row>
    <row r="90" spans="1:9" x14ac:dyDescent="0.25">
      <c r="A90" s="1">
        <v>14</v>
      </c>
      <c r="B90" s="1" t="s">
        <v>90</v>
      </c>
      <c r="C90" s="1"/>
      <c r="D90" s="1"/>
      <c r="E90" s="1"/>
      <c r="F90" s="14"/>
      <c r="G90" s="14"/>
      <c r="H90" s="14"/>
      <c r="I90" s="14">
        <f t="shared" si="6"/>
        <v>0</v>
      </c>
    </row>
    <row r="91" spans="1:9" x14ac:dyDescent="0.25">
      <c r="A91" s="1">
        <v>15</v>
      </c>
      <c r="B91" s="1" t="s">
        <v>120</v>
      </c>
      <c r="C91" s="1">
        <v>0</v>
      </c>
      <c r="D91" s="1">
        <v>37080</v>
      </c>
      <c r="E91" s="1"/>
      <c r="F91" s="14"/>
      <c r="G91" s="14"/>
      <c r="H91" s="14"/>
      <c r="I91" s="14">
        <f t="shared" si="6"/>
        <v>37080</v>
      </c>
    </row>
    <row r="92" spans="1:9" x14ac:dyDescent="0.25">
      <c r="A92" s="1"/>
      <c r="B92" s="3" t="s">
        <v>93</v>
      </c>
      <c r="C92" s="15">
        <f>SUM(C73:C91)</f>
        <v>1161048</v>
      </c>
      <c r="D92" s="15">
        <f>SUM(D73:D90)</f>
        <v>250798</v>
      </c>
      <c r="E92" s="15">
        <f>SUM(E73:E90)</f>
        <v>0</v>
      </c>
      <c r="F92" s="15">
        <f>SUM(F73:F91)</f>
        <v>0</v>
      </c>
      <c r="G92" s="15">
        <f>SUM(G73:G91)</f>
        <v>0</v>
      </c>
      <c r="H92" s="15">
        <f>SUM(H73:H91)</f>
        <v>0</v>
      </c>
      <c r="I92" s="15">
        <f>SUM(I73:I91)</f>
        <v>1448926</v>
      </c>
    </row>
    <row r="93" spans="1:9" x14ac:dyDescent="0.25">
      <c r="A93" s="1"/>
      <c r="B93" s="3" t="s">
        <v>91</v>
      </c>
      <c r="C93" s="1"/>
      <c r="D93" s="1"/>
      <c r="E93" s="1"/>
      <c r="F93" s="1"/>
      <c r="G93" s="1"/>
      <c r="H93" s="1"/>
      <c r="I93" s="1"/>
    </row>
    <row r="94" spans="1:9" x14ac:dyDescent="0.25">
      <c r="A94" s="1">
        <v>16</v>
      </c>
      <c r="B94" s="1" t="s">
        <v>92</v>
      </c>
      <c r="C94" s="1">
        <v>4400</v>
      </c>
      <c r="D94" s="1">
        <v>4400</v>
      </c>
      <c r="E94" s="1"/>
      <c r="F94" s="14"/>
      <c r="G94" s="27"/>
      <c r="H94" s="27"/>
      <c r="I94" s="14">
        <f>SUM(C94:H94)</f>
        <v>8800</v>
      </c>
    </row>
    <row r="95" spans="1:9" x14ac:dyDescent="0.25">
      <c r="A95" s="1">
        <v>17</v>
      </c>
      <c r="B95" s="1" t="s">
        <v>97</v>
      </c>
      <c r="C95" s="1">
        <v>118100</v>
      </c>
      <c r="D95" s="1"/>
      <c r="E95" s="1"/>
      <c r="F95" s="14"/>
      <c r="G95" s="27"/>
      <c r="H95" s="27"/>
      <c r="I95" s="14">
        <f t="shared" ref="I95:I98" si="7">SUM(C95:H95)</f>
        <v>118100</v>
      </c>
    </row>
    <row r="96" spans="1:9" x14ac:dyDescent="0.25">
      <c r="A96" s="1">
        <v>18</v>
      </c>
      <c r="B96" s="1" t="s">
        <v>98</v>
      </c>
      <c r="C96" s="1">
        <v>3542</v>
      </c>
      <c r="D96" s="1"/>
      <c r="E96" s="1"/>
      <c r="F96" s="14"/>
      <c r="G96" s="27"/>
      <c r="H96" s="27"/>
      <c r="I96" s="14">
        <f t="shared" si="7"/>
        <v>3542</v>
      </c>
    </row>
    <row r="97" spans="1:9" x14ac:dyDescent="0.25">
      <c r="A97" s="1">
        <v>19</v>
      </c>
      <c r="B97" s="1" t="s">
        <v>46</v>
      </c>
      <c r="C97" s="1">
        <v>2175</v>
      </c>
      <c r="D97" s="1"/>
      <c r="E97" s="1"/>
      <c r="F97" s="14"/>
      <c r="G97" s="27"/>
      <c r="H97" s="27"/>
      <c r="I97" s="14">
        <f t="shared" si="7"/>
        <v>2175</v>
      </c>
    </row>
    <row r="98" spans="1:9" x14ac:dyDescent="0.25">
      <c r="A98" s="1">
        <v>20</v>
      </c>
      <c r="B98" s="1" t="s">
        <v>14</v>
      </c>
      <c r="C98" s="1">
        <v>110</v>
      </c>
      <c r="D98" s="1"/>
      <c r="E98" s="1"/>
      <c r="F98" s="14"/>
      <c r="G98" s="27"/>
      <c r="H98" s="27"/>
      <c r="I98" s="14">
        <f t="shared" si="7"/>
        <v>110</v>
      </c>
    </row>
    <row r="99" spans="1:9" x14ac:dyDescent="0.25">
      <c r="A99" s="1"/>
      <c r="B99" s="3" t="s">
        <v>93</v>
      </c>
      <c r="C99" s="15">
        <f t="shared" ref="C99:G99" si="8">SUM(C94:C98)</f>
        <v>128327</v>
      </c>
      <c r="D99" s="15">
        <f t="shared" si="8"/>
        <v>4400</v>
      </c>
      <c r="E99" s="15">
        <f t="shared" si="8"/>
        <v>0</v>
      </c>
      <c r="F99" s="15">
        <f t="shared" si="8"/>
        <v>0</v>
      </c>
      <c r="G99" s="28">
        <f t="shared" si="8"/>
        <v>0</v>
      </c>
      <c r="H99" s="28">
        <f>SUM(H94:H98)</f>
        <v>0</v>
      </c>
      <c r="I99" s="15">
        <f>SUM(C99:H99)</f>
        <v>132727</v>
      </c>
    </row>
    <row r="100" spans="1:9" ht="15.75" x14ac:dyDescent="0.25">
      <c r="A100" s="1"/>
      <c r="B100" s="8" t="s">
        <v>94</v>
      </c>
      <c r="C100" s="16">
        <f t="shared" ref="C100:I100" si="9">C92+C99</f>
        <v>1289375</v>
      </c>
      <c r="D100" s="16">
        <f t="shared" si="9"/>
        <v>255198</v>
      </c>
      <c r="E100" s="16">
        <f t="shared" si="9"/>
        <v>0</v>
      </c>
      <c r="F100" s="16">
        <f t="shared" si="9"/>
        <v>0</v>
      </c>
      <c r="G100" s="16">
        <f t="shared" si="9"/>
        <v>0</v>
      </c>
      <c r="H100" s="16">
        <f t="shared" si="9"/>
        <v>0</v>
      </c>
      <c r="I100" s="16">
        <f t="shared" si="9"/>
        <v>1581653</v>
      </c>
    </row>
    <row r="101" spans="1:9" ht="16.5" thickBot="1" x14ac:dyDescent="0.3">
      <c r="A101" s="22"/>
      <c r="B101" s="23"/>
      <c r="C101" s="24"/>
      <c r="D101" s="24"/>
      <c r="E101" s="24"/>
      <c r="F101" s="24"/>
      <c r="G101" s="24"/>
      <c r="H101" s="24"/>
      <c r="I101" s="24"/>
    </row>
    <row r="102" spans="1:9" ht="15.75" thickBot="1" x14ac:dyDescent="0.3">
      <c r="B102" s="35" t="s">
        <v>6</v>
      </c>
      <c r="C102" s="35">
        <v>42064</v>
      </c>
      <c r="D102" s="36">
        <v>42095</v>
      </c>
      <c r="E102" s="36">
        <v>42125</v>
      </c>
      <c r="F102" s="49">
        <v>42156</v>
      </c>
      <c r="G102" s="13">
        <v>42186</v>
      </c>
      <c r="H102" s="13">
        <v>42217</v>
      </c>
    </row>
    <row r="103" spans="1:9" x14ac:dyDescent="0.25">
      <c r="B103" s="39" t="s">
        <v>99</v>
      </c>
      <c r="C103" s="40" t="s">
        <v>103</v>
      </c>
      <c r="D103" s="40" t="s">
        <v>100</v>
      </c>
      <c r="E103" s="41" t="s">
        <v>112</v>
      </c>
      <c r="F103" s="50" t="s">
        <v>118</v>
      </c>
      <c r="G103" s="38" t="s">
        <v>124</v>
      </c>
      <c r="H103" s="1"/>
    </row>
    <row r="104" spans="1:9" x14ac:dyDescent="0.25">
      <c r="B104" s="43" t="s">
        <v>85</v>
      </c>
      <c r="C104" s="1" t="s">
        <v>104</v>
      </c>
      <c r="D104" s="1" t="s">
        <v>101</v>
      </c>
      <c r="E104" s="38" t="s">
        <v>104</v>
      </c>
      <c r="F104" s="51" t="s">
        <v>117</v>
      </c>
      <c r="G104" s="38" t="s">
        <v>125</v>
      </c>
      <c r="H104" s="1"/>
    </row>
    <row r="105" spans="1:9" ht="15.75" thickBot="1" x14ac:dyDescent="0.3">
      <c r="B105" s="45" t="s">
        <v>40</v>
      </c>
      <c r="C105" s="46" t="s">
        <v>105</v>
      </c>
      <c r="D105" s="46" t="s">
        <v>102</v>
      </c>
      <c r="E105" s="47" t="s">
        <v>113</v>
      </c>
      <c r="F105" s="52" t="s">
        <v>115</v>
      </c>
      <c r="G105" s="38" t="s">
        <v>113</v>
      </c>
      <c r="H105" s="1" t="s">
        <v>126</v>
      </c>
    </row>
    <row r="108" spans="1:9" ht="15.75" x14ac:dyDescent="0.25">
      <c r="B108" s="54"/>
    </row>
    <row r="136" spans="1:6" ht="18.75" x14ac:dyDescent="0.3">
      <c r="B136" s="5" t="s">
        <v>80</v>
      </c>
    </row>
    <row r="137" spans="1:6" ht="18.75" x14ac:dyDescent="0.3">
      <c r="B137" s="5" t="s">
        <v>64</v>
      </c>
    </row>
    <row r="139" spans="1:6" ht="15.75" x14ac:dyDescent="0.25">
      <c r="A139" s="9" t="s">
        <v>156</v>
      </c>
      <c r="B139" s="8" t="s">
        <v>139</v>
      </c>
      <c r="C139" s="9" t="s">
        <v>140</v>
      </c>
      <c r="D139" s="9" t="s">
        <v>152</v>
      </c>
      <c r="E139" s="9" t="s">
        <v>141</v>
      </c>
      <c r="F139" s="9" t="s">
        <v>142</v>
      </c>
    </row>
    <row r="140" spans="1:6" ht="15.75" x14ac:dyDescent="0.25">
      <c r="A140" s="9">
        <v>1</v>
      </c>
      <c r="B140" s="9" t="s">
        <v>143</v>
      </c>
      <c r="C140" s="56">
        <v>10983</v>
      </c>
      <c r="D140" s="56">
        <v>0</v>
      </c>
      <c r="E140" s="56">
        <v>0</v>
      </c>
      <c r="F140" s="56">
        <v>3758</v>
      </c>
    </row>
    <row r="141" spans="1:6" ht="15.75" x14ac:dyDescent="0.25">
      <c r="A141" s="9">
        <v>2</v>
      </c>
      <c r="B141" s="9" t="s">
        <v>144</v>
      </c>
      <c r="C141" s="56">
        <v>0</v>
      </c>
      <c r="D141" s="56">
        <v>0</v>
      </c>
      <c r="E141" s="56">
        <v>0</v>
      </c>
      <c r="F141" s="56">
        <v>80</v>
      </c>
    </row>
    <row r="142" spans="1:6" ht="15.75" x14ac:dyDescent="0.25">
      <c r="A142" s="9">
        <v>3</v>
      </c>
      <c r="B142" s="9" t="s">
        <v>145</v>
      </c>
      <c r="C142" s="56">
        <v>0</v>
      </c>
      <c r="D142" s="56">
        <v>50000</v>
      </c>
      <c r="E142" s="56">
        <v>0</v>
      </c>
      <c r="F142" s="56">
        <v>7010</v>
      </c>
    </row>
    <row r="143" spans="1:6" ht="15.75" x14ac:dyDescent="0.25">
      <c r="A143" s="9">
        <v>4</v>
      </c>
      <c r="B143" s="9" t="s">
        <v>146</v>
      </c>
      <c r="C143" s="56">
        <v>0</v>
      </c>
      <c r="D143" s="56">
        <v>61875</v>
      </c>
      <c r="E143" s="56">
        <v>0</v>
      </c>
      <c r="F143" s="56">
        <v>7863</v>
      </c>
    </row>
    <row r="144" spans="1:6" ht="15.75" x14ac:dyDescent="0.25">
      <c r="A144" s="9">
        <v>5</v>
      </c>
      <c r="B144" s="9" t="s">
        <v>147</v>
      </c>
      <c r="C144" s="56">
        <v>0</v>
      </c>
      <c r="D144" s="56">
        <v>21500</v>
      </c>
      <c r="E144" s="56">
        <v>0</v>
      </c>
      <c r="F144" s="56">
        <v>20</v>
      </c>
    </row>
    <row r="145" spans="1:6" ht="15.75" x14ac:dyDescent="0.25">
      <c r="A145" s="9">
        <v>6</v>
      </c>
      <c r="B145" s="9" t="s">
        <v>148</v>
      </c>
      <c r="C145" s="56">
        <v>14125</v>
      </c>
      <c r="D145" s="56">
        <v>44000</v>
      </c>
      <c r="E145" s="56">
        <v>0</v>
      </c>
      <c r="F145" s="56">
        <v>3488</v>
      </c>
    </row>
    <row r="146" spans="1:6" ht="15.75" x14ac:dyDescent="0.25">
      <c r="A146" s="9">
        <v>7</v>
      </c>
      <c r="B146" s="9" t="s">
        <v>149</v>
      </c>
      <c r="C146" s="56">
        <v>0</v>
      </c>
      <c r="D146" s="56">
        <v>41250</v>
      </c>
      <c r="E146" s="56">
        <v>10050</v>
      </c>
      <c r="F146" s="56">
        <v>7188</v>
      </c>
    </row>
    <row r="147" spans="1:6" ht="15.75" x14ac:dyDescent="0.25">
      <c r="A147" s="9">
        <v>8</v>
      </c>
      <c r="B147" s="9" t="s">
        <v>150</v>
      </c>
      <c r="C147" s="56">
        <v>0</v>
      </c>
      <c r="D147" s="56">
        <v>3250</v>
      </c>
      <c r="E147" s="56">
        <v>0</v>
      </c>
      <c r="F147" s="56">
        <v>10</v>
      </c>
    </row>
    <row r="148" spans="1:6" ht="15.75" x14ac:dyDescent="0.25">
      <c r="A148" s="9">
        <v>9</v>
      </c>
      <c r="B148" s="9" t="s">
        <v>151</v>
      </c>
      <c r="C148" s="56">
        <v>0</v>
      </c>
      <c r="D148" s="56">
        <v>19875</v>
      </c>
      <c r="E148" s="56">
        <v>0</v>
      </c>
      <c r="F148" s="56">
        <v>355</v>
      </c>
    </row>
    <row r="149" spans="1:6" ht="15.75" x14ac:dyDescent="0.25">
      <c r="A149" s="9">
        <v>10</v>
      </c>
      <c r="B149" s="9" t="s">
        <v>153</v>
      </c>
      <c r="C149" s="56"/>
      <c r="D149" s="56"/>
      <c r="E149" s="56"/>
      <c r="F149" s="56"/>
    </row>
    <row r="150" spans="1:6" ht="15.75" x14ac:dyDescent="0.25">
      <c r="A150" s="9">
        <v>11</v>
      </c>
      <c r="B150" s="9" t="s">
        <v>154</v>
      </c>
      <c r="C150" s="56"/>
      <c r="D150" s="56"/>
      <c r="E150" s="56"/>
      <c r="F150" s="56"/>
    </row>
    <row r="151" spans="1:6" ht="15.75" x14ac:dyDescent="0.25">
      <c r="A151" s="9">
        <v>12</v>
      </c>
      <c r="B151" s="9" t="s">
        <v>155</v>
      </c>
      <c r="C151" s="56"/>
      <c r="D151" s="56"/>
      <c r="E151" s="56"/>
      <c r="F151" s="56"/>
    </row>
    <row r="152" spans="1:6" ht="15.75" x14ac:dyDescent="0.25">
      <c r="A152" s="9"/>
      <c r="B152" s="55" t="s">
        <v>138</v>
      </c>
      <c r="C152" s="57">
        <f>SUM(C140:C151)</f>
        <v>25108</v>
      </c>
      <c r="D152" s="57">
        <f>SUM(D140:D151)</f>
        <v>241750</v>
      </c>
      <c r="E152" s="57">
        <f>SUM(E140:E151)</f>
        <v>10050</v>
      </c>
      <c r="F152" s="57">
        <f>SUM(F140:F151)</f>
        <v>29772</v>
      </c>
    </row>
  </sheetData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50"/>
  <sheetViews>
    <sheetView topLeftCell="A49" workbookViewId="0">
      <selection activeCell="M7" sqref="M7"/>
    </sheetView>
  </sheetViews>
  <sheetFormatPr defaultRowHeight="15" x14ac:dyDescent="0.25"/>
  <cols>
    <col min="1" max="1" width="4.7109375" customWidth="1"/>
    <col min="2" max="2" width="39" customWidth="1"/>
    <col min="3" max="3" width="13.5703125" customWidth="1"/>
    <col min="4" max="4" width="12.28515625" customWidth="1"/>
    <col min="5" max="5" width="11.42578125" customWidth="1"/>
    <col min="6" max="6" width="13.140625" customWidth="1"/>
    <col min="7" max="8" width="12" customWidth="1"/>
    <col min="9" max="9" width="11.28515625" customWidth="1"/>
    <col min="10" max="10" width="14.140625" customWidth="1"/>
  </cols>
  <sheetData>
    <row r="2" spans="1:10" ht="18.75" x14ac:dyDescent="0.3">
      <c r="B2" s="5" t="s">
        <v>80</v>
      </c>
      <c r="C2" s="5"/>
      <c r="D2" s="12"/>
    </row>
    <row r="3" spans="1:10" ht="18.75" x14ac:dyDescent="0.3">
      <c r="B3" s="5" t="s">
        <v>64</v>
      </c>
      <c r="C3" s="5"/>
      <c r="D3" s="12"/>
    </row>
    <row r="4" spans="1:10" ht="18.75" x14ac:dyDescent="0.3">
      <c r="B4" s="5" t="s">
        <v>132</v>
      </c>
      <c r="C4" s="5"/>
      <c r="D4" s="12"/>
    </row>
    <row r="5" spans="1:10" ht="15.75" x14ac:dyDescent="0.25">
      <c r="A5" s="1" t="s">
        <v>21</v>
      </c>
      <c r="B5" s="8" t="s">
        <v>6</v>
      </c>
      <c r="C5" s="8" t="s">
        <v>131</v>
      </c>
      <c r="D5" s="13">
        <v>42186</v>
      </c>
      <c r="E5" s="13">
        <v>42217</v>
      </c>
      <c r="F5" s="13">
        <v>42248</v>
      </c>
      <c r="G5" s="13">
        <v>42278</v>
      </c>
      <c r="H5" s="13">
        <v>42309</v>
      </c>
      <c r="I5" s="13">
        <v>42339</v>
      </c>
      <c r="J5" s="1" t="s">
        <v>81</v>
      </c>
    </row>
    <row r="6" spans="1:10" x14ac:dyDescent="0.25">
      <c r="A6" s="1">
        <v>1</v>
      </c>
      <c r="B6" s="1" t="s">
        <v>83</v>
      </c>
      <c r="C6" s="1">
        <v>16100</v>
      </c>
      <c r="D6" s="1">
        <v>0</v>
      </c>
      <c r="E6" s="1">
        <v>0</v>
      </c>
      <c r="F6" s="1">
        <v>0</v>
      </c>
      <c r="G6" s="14">
        <v>0</v>
      </c>
      <c r="H6" s="27">
        <v>0</v>
      </c>
      <c r="I6" s="27">
        <v>0</v>
      </c>
      <c r="J6" s="14">
        <f>SUM(C6:I6)</f>
        <v>16100</v>
      </c>
    </row>
    <row r="7" spans="1:10" ht="15.75" x14ac:dyDescent="0.25">
      <c r="A7" s="1">
        <v>2</v>
      </c>
      <c r="B7" s="17" t="s">
        <v>95</v>
      </c>
      <c r="C7" s="17">
        <v>820400</v>
      </c>
      <c r="D7" s="1">
        <v>0</v>
      </c>
      <c r="E7" s="1">
        <v>1500</v>
      </c>
      <c r="F7" s="1">
        <v>4000</v>
      </c>
      <c r="G7" s="14">
        <v>7000</v>
      </c>
      <c r="H7" s="27">
        <v>8000</v>
      </c>
      <c r="I7" s="27">
        <v>7000</v>
      </c>
      <c r="J7" s="14">
        <f t="shared" ref="J7:J33" si="0">SUM(C7:I7)</f>
        <v>847900</v>
      </c>
    </row>
    <row r="8" spans="1:10" x14ac:dyDescent="0.25">
      <c r="A8" s="1">
        <v>3</v>
      </c>
      <c r="B8" s="1" t="s">
        <v>82</v>
      </c>
      <c r="C8" s="1">
        <v>103540</v>
      </c>
      <c r="D8" s="1">
        <v>0</v>
      </c>
      <c r="E8" s="1">
        <v>0</v>
      </c>
      <c r="F8" s="1">
        <v>0</v>
      </c>
      <c r="G8" s="14">
        <v>0</v>
      </c>
      <c r="H8" s="27">
        <v>0</v>
      </c>
      <c r="I8" s="27"/>
      <c r="J8" s="14">
        <f t="shared" si="0"/>
        <v>103540</v>
      </c>
    </row>
    <row r="9" spans="1:10" x14ac:dyDescent="0.25">
      <c r="A9" s="1">
        <v>4</v>
      </c>
      <c r="B9" s="1" t="s">
        <v>107</v>
      </c>
      <c r="C9" s="1">
        <v>320120</v>
      </c>
      <c r="D9" s="1">
        <v>0</v>
      </c>
      <c r="E9" s="1">
        <v>0</v>
      </c>
      <c r="F9" s="1">
        <v>0</v>
      </c>
      <c r="G9" s="14">
        <v>0</v>
      </c>
      <c r="H9" s="27">
        <v>0</v>
      </c>
      <c r="I9" s="27"/>
      <c r="J9" s="14">
        <f t="shared" si="0"/>
        <v>320120</v>
      </c>
    </row>
    <row r="10" spans="1:10" x14ac:dyDescent="0.25">
      <c r="A10" s="1"/>
      <c r="B10" s="1" t="s">
        <v>123</v>
      </c>
      <c r="C10" s="1">
        <v>353400</v>
      </c>
      <c r="D10" s="1">
        <v>171000</v>
      </c>
      <c r="E10" s="1">
        <v>17100</v>
      </c>
      <c r="F10" s="1">
        <v>0</v>
      </c>
      <c r="G10" s="14">
        <v>0</v>
      </c>
      <c r="H10" s="27">
        <v>0</v>
      </c>
      <c r="I10" s="27"/>
      <c r="J10" s="14">
        <f t="shared" si="0"/>
        <v>541500</v>
      </c>
    </row>
    <row r="11" spans="1:10" x14ac:dyDescent="0.25">
      <c r="A11" s="1">
        <v>5</v>
      </c>
      <c r="B11" s="1" t="s">
        <v>84</v>
      </c>
      <c r="C11" s="1">
        <v>121466</v>
      </c>
      <c r="D11" s="1">
        <v>19392</v>
      </c>
      <c r="E11" s="1">
        <v>0</v>
      </c>
      <c r="F11" s="1">
        <v>0</v>
      </c>
      <c r="G11" s="14">
        <v>0</v>
      </c>
      <c r="H11" s="27">
        <v>0</v>
      </c>
      <c r="I11" s="27"/>
      <c r="J11" s="14">
        <f t="shared" si="0"/>
        <v>140858</v>
      </c>
    </row>
    <row r="12" spans="1:10" x14ac:dyDescent="0.25">
      <c r="A12" s="1">
        <v>6</v>
      </c>
      <c r="B12" s="1" t="s">
        <v>109</v>
      </c>
      <c r="C12" s="1">
        <v>2544750</v>
      </c>
      <c r="D12" s="1">
        <v>324400</v>
      </c>
      <c r="E12" s="1">
        <v>661000</v>
      </c>
      <c r="F12" s="1">
        <v>1750</v>
      </c>
      <c r="G12" s="14">
        <v>644450</v>
      </c>
      <c r="H12" s="27">
        <v>1500</v>
      </c>
      <c r="I12" s="27">
        <v>323120</v>
      </c>
      <c r="J12" s="14">
        <f t="shared" si="0"/>
        <v>4500970</v>
      </c>
    </row>
    <row r="13" spans="1:10" x14ac:dyDescent="0.25">
      <c r="A13" s="1">
        <v>7</v>
      </c>
      <c r="B13" s="1" t="s">
        <v>37</v>
      </c>
      <c r="C13" s="1">
        <v>1120820</v>
      </c>
      <c r="D13" s="1">
        <v>156215</v>
      </c>
      <c r="E13" s="1">
        <v>101500</v>
      </c>
      <c r="F13" s="1">
        <v>119350</v>
      </c>
      <c r="G13" s="14">
        <v>81600</v>
      </c>
      <c r="H13" s="27">
        <v>142600</v>
      </c>
      <c r="I13" s="27">
        <v>40600</v>
      </c>
      <c r="J13" s="14">
        <f t="shared" si="0"/>
        <v>1762685</v>
      </c>
    </row>
    <row r="14" spans="1:10" x14ac:dyDescent="0.25">
      <c r="A14" s="1">
        <v>8</v>
      </c>
      <c r="B14" s="1" t="s">
        <v>111</v>
      </c>
      <c r="C14" s="1">
        <v>1104857</v>
      </c>
      <c r="D14" s="1">
        <v>334905</v>
      </c>
      <c r="E14" s="1">
        <v>198000</v>
      </c>
      <c r="F14" s="1">
        <v>191960</v>
      </c>
      <c r="G14" s="14">
        <v>75417</v>
      </c>
      <c r="H14" s="27">
        <v>126000</v>
      </c>
      <c r="I14" s="27">
        <v>150000</v>
      </c>
      <c r="J14" s="14">
        <f t="shared" si="0"/>
        <v>2181139</v>
      </c>
    </row>
    <row r="15" spans="1:10" x14ac:dyDescent="0.25">
      <c r="A15" s="1">
        <v>9</v>
      </c>
      <c r="B15" s="1" t="s">
        <v>96</v>
      </c>
      <c r="C15" s="1">
        <v>88750</v>
      </c>
      <c r="D15" s="1">
        <v>100000</v>
      </c>
      <c r="E15" s="1">
        <v>0</v>
      </c>
      <c r="F15" s="1">
        <v>112000</v>
      </c>
      <c r="G15" s="14">
        <v>0</v>
      </c>
      <c r="H15" s="27"/>
      <c r="I15" s="27">
        <v>56000</v>
      </c>
      <c r="J15" s="14">
        <f t="shared" si="0"/>
        <v>356750</v>
      </c>
    </row>
    <row r="16" spans="1:10" x14ac:dyDescent="0.25">
      <c r="A16" s="1">
        <v>10</v>
      </c>
      <c r="B16" s="1" t="s">
        <v>110</v>
      </c>
      <c r="C16" s="1">
        <v>346580</v>
      </c>
      <c r="D16" s="1">
        <v>26400</v>
      </c>
      <c r="E16" s="1">
        <v>5700</v>
      </c>
      <c r="F16" s="1">
        <v>11400</v>
      </c>
      <c r="G16" s="14">
        <v>0</v>
      </c>
      <c r="H16" s="27">
        <v>11400</v>
      </c>
      <c r="I16" s="27"/>
      <c r="J16" s="14">
        <f t="shared" si="0"/>
        <v>401480</v>
      </c>
    </row>
    <row r="17" spans="1:10" x14ac:dyDescent="0.25">
      <c r="A17" s="1">
        <v>11</v>
      </c>
      <c r="B17" s="1" t="s">
        <v>86</v>
      </c>
      <c r="C17" s="1">
        <v>192980</v>
      </c>
      <c r="D17" s="1">
        <v>0</v>
      </c>
      <c r="E17" s="1">
        <v>0</v>
      </c>
      <c r="F17" s="1">
        <v>0</v>
      </c>
      <c r="G17" s="14">
        <v>0</v>
      </c>
      <c r="H17" s="27">
        <v>0</v>
      </c>
      <c r="I17" s="27"/>
      <c r="J17" s="14">
        <f t="shared" si="0"/>
        <v>192980</v>
      </c>
    </row>
    <row r="18" spans="1:10" x14ac:dyDescent="0.25">
      <c r="A18" s="1"/>
      <c r="B18" s="1" t="s">
        <v>108</v>
      </c>
      <c r="C18" s="1">
        <v>50980</v>
      </c>
      <c r="D18" s="1">
        <v>0</v>
      </c>
      <c r="E18" s="1">
        <v>0</v>
      </c>
      <c r="F18" s="1">
        <v>0</v>
      </c>
      <c r="G18" s="14">
        <v>3254</v>
      </c>
      <c r="H18" s="27">
        <v>3920</v>
      </c>
      <c r="I18" s="27">
        <v>2600</v>
      </c>
      <c r="J18" s="14">
        <f t="shared" si="0"/>
        <v>60754</v>
      </c>
    </row>
    <row r="19" spans="1:10" x14ac:dyDescent="0.25">
      <c r="A19" s="1"/>
      <c r="B19" s="1" t="s">
        <v>119</v>
      </c>
      <c r="C19" s="1">
        <v>23369</v>
      </c>
      <c r="D19" s="1">
        <v>18736</v>
      </c>
      <c r="E19" s="1">
        <v>15698</v>
      </c>
      <c r="F19" s="1">
        <v>0</v>
      </c>
      <c r="G19" s="14">
        <v>10004</v>
      </c>
      <c r="H19" s="27">
        <v>0</v>
      </c>
      <c r="I19" s="27">
        <v>12521</v>
      </c>
      <c r="J19" s="14">
        <f t="shared" si="0"/>
        <v>80328</v>
      </c>
    </row>
    <row r="20" spans="1:10" x14ac:dyDescent="0.25">
      <c r="A20" s="1">
        <v>12</v>
      </c>
      <c r="B20" s="1" t="s">
        <v>87</v>
      </c>
      <c r="C20" s="1">
        <v>605725</v>
      </c>
      <c r="D20" s="1">
        <v>0</v>
      </c>
      <c r="E20" s="1">
        <v>0</v>
      </c>
      <c r="F20" s="1">
        <v>0</v>
      </c>
      <c r="G20" s="14">
        <v>0</v>
      </c>
      <c r="H20" s="27">
        <v>0</v>
      </c>
      <c r="I20" s="27"/>
      <c r="J20" s="14">
        <f t="shared" si="0"/>
        <v>605725</v>
      </c>
    </row>
    <row r="21" spans="1:10" x14ac:dyDescent="0.25">
      <c r="A21" s="1">
        <v>13</v>
      </c>
      <c r="B21" s="1" t="s">
        <v>88</v>
      </c>
      <c r="C21" s="1">
        <v>150119</v>
      </c>
      <c r="D21" s="1">
        <v>0</v>
      </c>
      <c r="E21" s="1">
        <v>0</v>
      </c>
      <c r="F21" s="1">
        <v>0</v>
      </c>
      <c r="G21" s="14">
        <v>0</v>
      </c>
      <c r="H21" s="27">
        <v>0</v>
      </c>
      <c r="I21" s="27"/>
      <c r="J21" s="14">
        <f t="shared" si="0"/>
        <v>150119</v>
      </c>
    </row>
    <row r="22" spans="1:10" x14ac:dyDescent="0.25">
      <c r="A22" s="1">
        <v>14</v>
      </c>
      <c r="B22" s="1" t="s">
        <v>89</v>
      </c>
      <c r="C22" s="1">
        <v>95604</v>
      </c>
      <c r="D22" s="1">
        <v>0</v>
      </c>
      <c r="E22" s="1">
        <v>3241</v>
      </c>
      <c r="F22" s="1">
        <v>0</v>
      </c>
      <c r="G22" s="14">
        <v>771</v>
      </c>
      <c r="H22" s="14"/>
      <c r="I22" s="14">
        <v>435</v>
      </c>
      <c r="J22" s="14">
        <f t="shared" si="0"/>
        <v>100051</v>
      </c>
    </row>
    <row r="23" spans="1:10" x14ac:dyDescent="0.25">
      <c r="A23" s="1">
        <v>14</v>
      </c>
      <c r="B23" s="1" t="s">
        <v>90</v>
      </c>
      <c r="C23" s="1">
        <v>100000</v>
      </c>
      <c r="D23" s="1">
        <v>0</v>
      </c>
      <c r="E23" s="1">
        <v>0</v>
      </c>
      <c r="F23" s="1">
        <v>50000</v>
      </c>
      <c r="G23" s="14">
        <v>0</v>
      </c>
      <c r="H23" s="14">
        <v>0</v>
      </c>
      <c r="I23" s="14"/>
      <c r="J23" s="14">
        <f t="shared" si="0"/>
        <v>150000</v>
      </c>
    </row>
    <row r="24" spans="1:10" x14ac:dyDescent="0.25">
      <c r="A24" s="1">
        <v>15</v>
      </c>
      <c r="B24" s="1" t="s">
        <v>120</v>
      </c>
      <c r="C24" s="1">
        <v>50483</v>
      </c>
      <c r="D24" s="1">
        <v>0</v>
      </c>
      <c r="E24" s="1">
        <v>0</v>
      </c>
      <c r="F24" s="1">
        <v>0</v>
      </c>
      <c r="G24" s="14">
        <v>0</v>
      </c>
      <c r="H24" s="14">
        <v>0</v>
      </c>
      <c r="I24" s="14">
        <v>30000</v>
      </c>
      <c r="J24" s="14">
        <f t="shared" si="0"/>
        <v>80483</v>
      </c>
    </row>
    <row r="25" spans="1:10" x14ac:dyDescent="0.25">
      <c r="A25" s="1">
        <v>16</v>
      </c>
      <c r="B25" s="1" t="s">
        <v>128</v>
      </c>
      <c r="C25" s="1">
        <v>0</v>
      </c>
      <c r="D25" s="1">
        <v>0</v>
      </c>
      <c r="E25" s="1">
        <v>37080</v>
      </c>
      <c r="F25" s="1">
        <v>7436</v>
      </c>
      <c r="G25" s="14">
        <v>8855</v>
      </c>
      <c r="H25" s="14">
        <v>12299</v>
      </c>
      <c r="I25" s="14">
        <v>1550</v>
      </c>
      <c r="J25" s="14">
        <f t="shared" si="0"/>
        <v>67220</v>
      </c>
    </row>
    <row r="26" spans="1:10" x14ac:dyDescent="0.25">
      <c r="A26" s="1">
        <v>17</v>
      </c>
      <c r="B26" s="1" t="s">
        <v>127</v>
      </c>
      <c r="C26" s="1">
        <v>0</v>
      </c>
      <c r="D26" s="1">
        <v>10000</v>
      </c>
      <c r="E26" s="1">
        <v>20000</v>
      </c>
      <c r="F26" s="1">
        <v>0</v>
      </c>
      <c r="G26" s="14">
        <v>0</v>
      </c>
      <c r="H26" s="14">
        <v>0</v>
      </c>
      <c r="I26" s="14">
        <v>2000</v>
      </c>
      <c r="J26" s="14">
        <f t="shared" si="0"/>
        <v>32000</v>
      </c>
    </row>
    <row r="27" spans="1:10" x14ac:dyDescent="0.25">
      <c r="A27" s="1">
        <v>18</v>
      </c>
      <c r="B27" s="1" t="s">
        <v>129</v>
      </c>
      <c r="C27" s="1">
        <v>0</v>
      </c>
      <c r="D27" s="1">
        <v>0</v>
      </c>
      <c r="E27" s="1">
        <v>15584</v>
      </c>
      <c r="F27" s="1">
        <v>20000</v>
      </c>
      <c r="G27" s="14">
        <v>75000</v>
      </c>
      <c r="H27" s="14">
        <v>68110</v>
      </c>
      <c r="I27" s="14"/>
      <c r="J27" s="14">
        <f t="shared" si="0"/>
        <v>178694</v>
      </c>
    </row>
    <row r="28" spans="1:10" x14ac:dyDescent="0.25">
      <c r="A28" s="1">
        <v>19</v>
      </c>
      <c r="B28" s="1" t="s">
        <v>157</v>
      </c>
      <c r="C28" s="1">
        <v>0</v>
      </c>
      <c r="D28" s="1">
        <v>0</v>
      </c>
      <c r="E28" s="1">
        <v>0</v>
      </c>
      <c r="F28" s="1">
        <v>0</v>
      </c>
      <c r="G28" s="14">
        <v>2400</v>
      </c>
      <c r="H28" s="14">
        <v>0</v>
      </c>
      <c r="I28" s="14"/>
      <c r="J28" s="14">
        <f t="shared" si="0"/>
        <v>2400</v>
      </c>
    </row>
    <row r="29" spans="1:10" x14ac:dyDescent="0.25">
      <c r="A29" s="1">
        <v>20</v>
      </c>
      <c r="B29" s="1" t="s">
        <v>158</v>
      </c>
      <c r="C29" s="1">
        <v>0</v>
      </c>
      <c r="D29" s="1">
        <v>0</v>
      </c>
      <c r="E29" s="1">
        <v>0</v>
      </c>
      <c r="F29" s="1">
        <v>0</v>
      </c>
      <c r="G29" s="14">
        <v>1360</v>
      </c>
      <c r="H29" s="14">
        <v>0</v>
      </c>
      <c r="I29" s="14"/>
      <c r="J29" s="14">
        <f t="shared" si="0"/>
        <v>1360</v>
      </c>
    </row>
    <row r="30" spans="1:10" x14ac:dyDescent="0.25">
      <c r="A30" s="66">
        <v>21</v>
      </c>
      <c r="B30" s="66" t="s">
        <v>209</v>
      </c>
      <c r="C30" s="66">
        <v>0</v>
      </c>
      <c r="D30" s="66">
        <v>0</v>
      </c>
      <c r="E30" s="66">
        <v>0</v>
      </c>
      <c r="F30" s="66">
        <v>0</v>
      </c>
      <c r="G30" s="67">
        <v>0</v>
      </c>
      <c r="H30" s="67">
        <v>0</v>
      </c>
      <c r="I30" s="67">
        <v>28350</v>
      </c>
      <c r="J30" s="67">
        <f t="shared" si="0"/>
        <v>28350</v>
      </c>
    </row>
    <row r="31" spans="1:10" x14ac:dyDescent="0.25">
      <c r="A31" s="66">
        <v>22</v>
      </c>
      <c r="B31" s="66" t="s">
        <v>210</v>
      </c>
      <c r="C31" s="66">
        <v>0</v>
      </c>
      <c r="D31" s="66">
        <v>0</v>
      </c>
      <c r="E31" s="66">
        <v>0</v>
      </c>
      <c r="F31" s="66">
        <v>0</v>
      </c>
      <c r="G31" s="67">
        <v>0</v>
      </c>
      <c r="H31" s="67">
        <v>0</v>
      </c>
      <c r="I31" s="67">
        <v>47610</v>
      </c>
      <c r="J31" s="67">
        <f t="shared" ref="J31" si="1">SUM(C31:I31)</f>
        <v>47610</v>
      </c>
    </row>
    <row r="32" spans="1:10" x14ac:dyDescent="0.25">
      <c r="A32" s="3">
        <v>23</v>
      </c>
      <c r="B32" s="3" t="s">
        <v>130</v>
      </c>
      <c r="C32" s="3">
        <v>0</v>
      </c>
      <c r="D32" s="3">
        <v>0</v>
      </c>
      <c r="E32" s="3">
        <v>45000</v>
      </c>
      <c r="F32" s="3">
        <v>125000</v>
      </c>
      <c r="G32" s="15">
        <v>208000</v>
      </c>
      <c r="H32" s="15">
        <v>173500</v>
      </c>
      <c r="I32" s="15">
        <v>111700</v>
      </c>
      <c r="J32" s="14">
        <f t="shared" ref="J32" si="2">SUM(C32:I32)</f>
        <v>663200</v>
      </c>
    </row>
    <row r="33" spans="1:10" x14ac:dyDescent="0.25">
      <c r="A33" s="1"/>
      <c r="B33" s="1"/>
      <c r="C33" s="1"/>
      <c r="D33" s="1"/>
      <c r="E33" s="1"/>
      <c r="F33" s="1"/>
      <c r="G33" s="14"/>
      <c r="H33" s="14"/>
      <c r="I33" s="14"/>
      <c r="J33" s="14">
        <f t="shared" si="0"/>
        <v>0</v>
      </c>
    </row>
    <row r="34" spans="1:10" x14ac:dyDescent="0.25">
      <c r="A34" s="1"/>
      <c r="B34" s="3" t="s">
        <v>93</v>
      </c>
      <c r="C34" s="3">
        <f t="shared" ref="C34:H34" si="3">SUM(C6:C33)</f>
        <v>8210043</v>
      </c>
      <c r="D34" s="15">
        <f t="shared" si="3"/>
        <v>1161048</v>
      </c>
      <c r="E34" s="15">
        <f t="shared" si="3"/>
        <v>1121403</v>
      </c>
      <c r="F34" s="15">
        <f t="shared" si="3"/>
        <v>642896</v>
      </c>
      <c r="G34" s="15">
        <f t="shared" si="3"/>
        <v>1118111</v>
      </c>
      <c r="H34" s="15">
        <f t="shared" si="3"/>
        <v>547329</v>
      </c>
      <c r="I34" s="15">
        <f>SUM(I6:I33)</f>
        <v>813486</v>
      </c>
      <c r="J34" s="15">
        <f>SUM(J6:J33)</f>
        <v>13614316</v>
      </c>
    </row>
    <row r="40" spans="1:10" ht="15.75" x14ac:dyDescent="0.25">
      <c r="A40" s="1"/>
      <c r="B40" s="3" t="s">
        <v>91</v>
      </c>
      <c r="C40" s="8" t="s">
        <v>131</v>
      </c>
      <c r="D40" s="13">
        <v>42186</v>
      </c>
      <c r="E40" s="13">
        <v>42217</v>
      </c>
      <c r="F40" s="13">
        <v>42248</v>
      </c>
      <c r="G40" s="13">
        <v>42278</v>
      </c>
      <c r="H40" s="13">
        <v>42309</v>
      </c>
      <c r="I40" s="13">
        <v>42339</v>
      </c>
      <c r="J40" s="1" t="s">
        <v>81</v>
      </c>
    </row>
    <row r="41" spans="1:10" x14ac:dyDescent="0.25">
      <c r="A41" s="1">
        <v>16</v>
      </c>
      <c r="B41" s="1" t="s">
        <v>92</v>
      </c>
      <c r="C41" s="1">
        <v>20400</v>
      </c>
      <c r="D41" s="1">
        <v>4400</v>
      </c>
      <c r="E41" s="1">
        <v>4400</v>
      </c>
      <c r="F41" s="1">
        <v>4400</v>
      </c>
      <c r="G41" s="14">
        <v>4400</v>
      </c>
      <c r="H41" s="27">
        <v>4400</v>
      </c>
      <c r="I41" s="27">
        <v>4400</v>
      </c>
      <c r="J41" s="14">
        <f t="shared" ref="J41:J45" si="4">SUM(C41:I41)</f>
        <v>46800</v>
      </c>
    </row>
    <row r="42" spans="1:10" x14ac:dyDescent="0.25">
      <c r="A42" s="1">
        <v>17</v>
      </c>
      <c r="B42" s="1" t="s">
        <v>97</v>
      </c>
      <c r="C42" s="1">
        <v>493725</v>
      </c>
      <c r="D42" s="1">
        <v>118100</v>
      </c>
      <c r="E42" s="1">
        <v>105500</v>
      </c>
      <c r="F42" s="1">
        <v>123000</v>
      </c>
      <c r="G42" s="14">
        <v>108000</v>
      </c>
      <c r="H42" s="27">
        <v>109580</v>
      </c>
      <c r="I42" s="27">
        <v>115000</v>
      </c>
      <c r="J42" s="14">
        <f t="shared" si="4"/>
        <v>1172905</v>
      </c>
    </row>
    <row r="43" spans="1:10" x14ac:dyDescent="0.25">
      <c r="A43" s="1">
        <v>18</v>
      </c>
      <c r="B43" s="1" t="s">
        <v>98</v>
      </c>
      <c r="C43" s="1">
        <v>6134</v>
      </c>
      <c r="D43" s="1">
        <v>3542</v>
      </c>
      <c r="E43" s="1">
        <v>1428</v>
      </c>
      <c r="F43" s="1">
        <v>1495</v>
      </c>
      <c r="G43" s="14">
        <v>1590</v>
      </c>
      <c r="H43" s="27">
        <v>1593</v>
      </c>
      <c r="I43" s="27">
        <v>2058</v>
      </c>
      <c r="J43" s="14">
        <f t="shared" si="4"/>
        <v>17840</v>
      </c>
    </row>
    <row r="44" spans="1:10" x14ac:dyDescent="0.25">
      <c r="A44" s="1">
        <v>19</v>
      </c>
      <c r="B44" s="1" t="s">
        <v>46</v>
      </c>
      <c r="C44" s="1">
        <v>18126</v>
      </c>
      <c r="D44" s="1">
        <v>2175</v>
      </c>
      <c r="E44" s="1">
        <v>2084</v>
      </c>
      <c r="F44" s="1">
        <v>2558</v>
      </c>
      <c r="G44" s="14">
        <v>2840</v>
      </c>
      <c r="H44" s="27">
        <v>3915</v>
      </c>
      <c r="I44" s="27">
        <v>3585</v>
      </c>
      <c r="J44" s="14">
        <f t="shared" si="4"/>
        <v>35283</v>
      </c>
    </row>
    <row r="45" spans="1:10" x14ac:dyDescent="0.25">
      <c r="A45" s="1">
        <v>20</v>
      </c>
      <c r="B45" s="1" t="s">
        <v>14</v>
      </c>
      <c r="C45" s="1">
        <v>29940</v>
      </c>
      <c r="D45" s="1">
        <v>110</v>
      </c>
      <c r="E45" s="1">
        <v>2076</v>
      </c>
      <c r="F45" s="1">
        <v>3000</v>
      </c>
      <c r="G45" s="14">
        <v>2350</v>
      </c>
      <c r="H45" s="27">
        <v>3615</v>
      </c>
      <c r="I45" s="27">
        <v>3992</v>
      </c>
      <c r="J45" s="14">
        <f t="shared" si="4"/>
        <v>45083</v>
      </c>
    </row>
    <row r="46" spans="1:10" x14ac:dyDescent="0.25">
      <c r="A46" s="1"/>
      <c r="B46" s="3" t="s">
        <v>93</v>
      </c>
      <c r="C46" s="3">
        <f>SUM(C41:C45)</f>
        <v>568325</v>
      </c>
      <c r="D46" s="15">
        <f t="shared" ref="D46:H46" si="5">SUM(D41:D45)</f>
        <v>128327</v>
      </c>
      <c r="E46" s="15">
        <f t="shared" si="5"/>
        <v>115488</v>
      </c>
      <c r="F46" s="15">
        <f t="shared" si="5"/>
        <v>134453</v>
      </c>
      <c r="G46" s="15">
        <f t="shared" si="5"/>
        <v>119180</v>
      </c>
      <c r="H46" s="28">
        <f t="shared" si="5"/>
        <v>123103</v>
      </c>
      <c r="I46" s="28">
        <f>SUM(I41:I45)</f>
        <v>129035</v>
      </c>
      <c r="J46" s="15">
        <f>SUM(J41:J45)</f>
        <v>1317911</v>
      </c>
    </row>
    <row r="47" spans="1:10" ht="15.75" x14ac:dyDescent="0.25">
      <c r="A47" s="1"/>
      <c r="B47" s="8" t="s">
        <v>94</v>
      </c>
      <c r="C47" s="16">
        <f t="shared" ref="C47:J47" si="6">C34+C46</f>
        <v>8778368</v>
      </c>
      <c r="D47" s="16">
        <f t="shared" si="6"/>
        <v>1289375</v>
      </c>
      <c r="E47" s="16">
        <f t="shared" si="6"/>
        <v>1236891</v>
      </c>
      <c r="F47" s="16">
        <f t="shared" si="6"/>
        <v>777349</v>
      </c>
      <c r="G47" s="16">
        <f t="shared" si="6"/>
        <v>1237291</v>
      </c>
      <c r="H47" s="16">
        <f t="shared" si="6"/>
        <v>670432</v>
      </c>
      <c r="I47" s="16">
        <f t="shared" si="6"/>
        <v>942521</v>
      </c>
      <c r="J47" s="16">
        <f t="shared" si="6"/>
        <v>14932227</v>
      </c>
    </row>
    <row r="53" spans="2:10" ht="15.75" thickBot="1" x14ac:dyDescent="0.3"/>
    <row r="54" spans="2:10" ht="15.75" thickBot="1" x14ac:dyDescent="0.3">
      <c r="B54" s="35" t="s">
        <v>6</v>
      </c>
      <c r="C54" s="35">
        <v>42064</v>
      </c>
      <c r="D54" s="36">
        <v>42095</v>
      </c>
      <c r="E54" s="36">
        <v>42125</v>
      </c>
      <c r="F54" s="36">
        <v>42156</v>
      </c>
      <c r="G54" s="53">
        <v>42186</v>
      </c>
      <c r="H54" s="53">
        <v>42217</v>
      </c>
      <c r="I54" s="3" t="s">
        <v>135</v>
      </c>
      <c r="J54" s="13">
        <v>42278</v>
      </c>
    </row>
    <row r="55" spans="2:10" x14ac:dyDescent="0.25">
      <c r="B55" s="39" t="s">
        <v>99</v>
      </c>
      <c r="C55" s="40" t="s">
        <v>103</v>
      </c>
      <c r="D55" s="40" t="s">
        <v>100</v>
      </c>
      <c r="E55" s="41" t="s">
        <v>112</v>
      </c>
      <c r="F55" s="50" t="s">
        <v>118</v>
      </c>
      <c r="G55" s="38" t="s">
        <v>124</v>
      </c>
      <c r="H55" s="1" t="s">
        <v>134</v>
      </c>
      <c r="I55" s="1" t="s">
        <v>137</v>
      </c>
      <c r="J55" s="1" t="s">
        <v>159</v>
      </c>
    </row>
    <row r="56" spans="2:10" x14ac:dyDescent="0.25">
      <c r="B56" s="43" t="s">
        <v>85</v>
      </c>
      <c r="C56" s="1" t="s">
        <v>104</v>
      </c>
      <c r="D56" s="1" t="s">
        <v>101</v>
      </c>
      <c r="E56" s="38" t="s">
        <v>104</v>
      </c>
      <c r="F56" s="51" t="s">
        <v>117</v>
      </c>
      <c r="G56" s="38" t="s">
        <v>125</v>
      </c>
      <c r="H56" s="1" t="s">
        <v>133</v>
      </c>
      <c r="I56" s="1">
        <v>0</v>
      </c>
      <c r="J56" s="1" t="s">
        <v>160</v>
      </c>
    </row>
    <row r="57" spans="2:10" ht="15.75" thickBot="1" x14ac:dyDescent="0.3">
      <c r="B57" s="45" t="s">
        <v>40</v>
      </c>
      <c r="C57" s="46" t="s">
        <v>105</v>
      </c>
      <c r="D57" s="46" t="s">
        <v>102</v>
      </c>
      <c r="E57" s="47" t="s">
        <v>113</v>
      </c>
      <c r="F57" s="52" t="s">
        <v>115</v>
      </c>
      <c r="G57" s="38" t="s">
        <v>113</v>
      </c>
      <c r="H57" s="1" t="s">
        <v>126</v>
      </c>
      <c r="I57" s="1" t="s">
        <v>136</v>
      </c>
      <c r="J57" s="1" t="s">
        <v>161</v>
      </c>
    </row>
    <row r="59" spans="2:10" ht="15.75" thickBot="1" x14ac:dyDescent="0.3"/>
    <row r="60" spans="2:10" ht="15.75" thickBot="1" x14ac:dyDescent="0.3">
      <c r="B60" s="35" t="s">
        <v>6</v>
      </c>
      <c r="C60" s="35">
        <v>42309</v>
      </c>
      <c r="D60" s="36">
        <v>42339</v>
      </c>
      <c r="E60" s="36"/>
      <c r="F60" s="53"/>
      <c r="G60" s="60"/>
      <c r="H60" s="60"/>
      <c r="I60" s="61"/>
      <c r="J60" s="34"/>
    </row>
    <row r="61" spans="2:10" x14ac:dyDescent="0.25">
      <c r="B61" s="39" t="s">
        <v>99</v>
      </c>
      <c r="C61" s="40" t="s">
        <v>206</v>
      </c>
      <c r="D61" s="40" t="s">
        <v>211</v>
      </c>
      <c r="E61" s="62"/>
      <c r="F61" s="1"/>
      <c r="G61" s="25"/>
      <c r="H61" s="22"/>
      <c r="I61" s="22"/>
      <c r="J61" s="22"/>
    </row>
    <row r="62" spans="2:10" x14ac:dyDescent="0.25">
      <c r="B62" s="43" t="s">
        <v>85</v>
      </c>
      <c r="C62" s="1"/>
      <c r="D62" s="1" t="s">
        <v>212</v>
      </c>
      <c r="E62" s="63"/>
      <c r="F62" s="1"/>
      <c r="G62" s="25"/>
      <c r="H62" s="22"/>
      <c r="I62" s="22"/>
      <c r="J62" s="22"/>
    </row>
    <row r="63" spans="2:10" ht="15.75" thickBot="1" x14ac:dyDescent="0.3">
      <c r="B63" s="45" t="s">
        <v>40</v>
      </c>
      <c r="C63" s="46" t="s">
        <v>207</v>
      </c>
      <c r="D63" s="46" t="s">
        <v>213</v>
      </c>
      <c r="E63" s="64"/>
      <c r="F63" s="1"/>
      <c r="G63" s="25"/>
      <c r="H63" s="22"/>
      <c r="I63" s="22"/>
      <c r="J63" s="22"/>
    </row>
    <row r="73" spans="1:6" ht="18.75" x14ac:dyDescent="0.3">
      <c r="B73" s="5" t="s">
        <v>80</v>
      </c>
    </row>
    <row r="74" spans="1:6" ht="18.75" x14ac:dyDescent="0.3">
      <c r="B74" s="5" t="s">
        <v>64</v>
      </c>
    </row>
    <row r="76" spans="1:6" ht="15.75" x14ac:dyDescent="0.25">
      <c r="A76" s="9" t="s">
        <v>156</v>
      </c>
      <c r="B76" s="8" t="s">
        <v>139</v>
      </c>
      <c r="C76" s="9" t="s">
        <v>140</v>
      </c>
      <c r="D76" s="9" t="s">
        <v>152</v>
      </c>
      <c r="E76" s="9" t="s">
        <v>141</v>
      </c>
      <c r="F76" s="9" t="s">
        <v>142</v>
      </c>
    </row>
    <row r="77" spans="1:6" ht="15.75" x14ac:dyDescent="0.25">
      <c r="A77" s="9">
        <v>1</v>
      </c>
      <c r="B77" s="9" t="s">
        <v>143</v>
      </c>
      <c r="C77" s="56">
        <v>10983</v>
      </c>
      <c r="D77" s="56">
        <v>0</v>
      </c>
      <c r="E77" s="56">
        <v>0</v>
      </c>
      <c r="F77" s="56">
        <v>3758</v>
      </c>
    </row>
    <row r="78" spans="1:6" ht="15.75" x14ac:dyDescent="0.25">
      <c r="A78" s="9">
        <v>2</v>
      </c>
      <c r="B78" s="9" t="s">
        <v>144</v>
      </c>
      <c r="C78" s="56">
        <v>0</v>
      </c>
      <c r="D78" s="56">
        <v>0</v>
      </c>
      <c r="E78" s="56">
        <v>0</v>
      </c>
      <c r="F78" s="56">
        <v>80</v>
      </c>
    </row>
    <row r="79" spans="1:6" ht="15.75" x14ac:dyDescent="0.25">
      <c r="A79" s="9">
        <v>3</v>
      </c>
      <c r="B79" s="9" t="s">
        <v>145</v>
      </c>
      <c r="C79" s="56">
        <v>0</v>
      </c>
      <c r="D79" s="56">
        <v>50000</v>
      </c>
      <c r="E79" s="56">
        <v>0</v>
      </c>
      <c r="F79" s="56">
        <v>7010</v>
      </c>
    </row>
    <row r="80" spans="1:6" ht="15.75" x14ac:dyDescent="0.25">
      <c r="A80" s="9">
        <v>4</v>
      </c>
      <c r="B80" s="9" t="s">
        <v>146</v>
      </c>
      <c r="C80" s="56">
        <v>0</v>
      </c>
      <c r="D80" s="56">
        <v>61875</v>
      </c>
      <c r="E80" s="56">
        <v>0</v>
      </c>
      <c r="F80" s="56">
        <v>7863</v>
      </c>
    </row>
    <row r="81" spans="1:6" ht="15.75" x14ac:dyDescent="0.25">
      <c r="A81" s="9">
        <v>5</v>
      </c>
      <c r="B81" s="9" t="s">
        <v>147</v>
      </c>
      <c r="C81" s="56">
        <v>0</v>
      </c>
      <c r="D81" s="56">
        <v>21500</v>
      </c>
      <c r="E81" s="56">
        <v>0</v>
      </c>
      <c r="F81" s="56">
        <v>20</v>
      </c>
    </row>
    <row r="82" spans="1:6" ht="15.75" x14ac:dyDescent="0.25">
      <c r="A82" s="9">
        <v>6</v>
      </c>
      <c r="B82" s="9" t="s">
        <v>148</v>
      </c>
      <c r="C82" s="56">
        <v>14125</v>
      </c>
      <c r="D82" s="56">
        <v>44000</v>
      </c>
      <c r="E82" s="56">
        <v>0</v>
      </c>
      <c r="F82" s="56">
        <v>3488</v>
      </c>
    </row>
    <row r="83" spans="1:6" ht="15.75" x14ac:dyDescent="0.25">
      <c r="A83" s="9">
        <v>7</v>
      </c>
      <c r="B83" s="9" t="s">
        <v>149</v>
      </c>
      <c r="C83" s="56">
        <v>0</v>
      </c>
      <c r="D83" s="56">
        <v>41250</v>
      </c>
      <c r="E83" s="56">
        <v>10050</v>
      </c>
      <c r="F83" s="56">
        <v>7188</v>
      </c>
    </row>
    <row r="84" spans="1:6" ht="15.75" x14ac:dyDescent="0.25">
      <c r="A84" s="9">
        <v>8</v>
      </c>
      <c r="B84" s="9" t="s">
        <v>150</v>
      </c>
      <c r="C84" s="56">
        <v>0</v>
      </c>
      <c r="D84" s="56">
        <v>3250</v>
      </c>
      <c r="E84" s="56">
        <v>0</v>
      </c>
      <c r="F84" s="56">
        <v>10</v>
      </c>
    </row>
    <row r="85" spans="1:6" ht="15.75" x14ac:dyDescent="0.25">
      <c r="A85" s="9">
        <v>9</v>
      </c>
      <c r="B85" s="9" t="s">
        <v>151</v>
      </c>
      <c r="C85" s="56">
        <v>0</v>
      </c>
      <c r="D85" s="56">
        <v>19875</v>
      </c>
      <c r="E85" s="56">
        <v>0</v>
      </c>
      <c r="F85" s="56">
        <v>355</v>
      </c>
    </row>
    <row r="86" spans="1:6" ht="15.75" x14ac:dyDescent="0.25">
      <c r="A86" s="9">
        <v>10</v>
      </c>
      <c r="B86" s="9" t="s">
        <v>153</v>
      </c>
      <c r="C86" s="56">
        <v>0</v>
      </c>
      <c r="D86" s="56">
        <v>0</v>
      </c>
      <c r="E86" s="56">
        <v>500</v>
      </c>
      <c r="F86" s="56">
        <v>30</v>
      </c>
    </row>
    <row r="87" spans="1:6" ht="15.75" x14ac:dyDescent="0.25">
      <c r="A87" s="9">
        <v>11</v>
      </c>
      <c r="B87" s="9" t="s">
        <v>154</v>
      </c>
      <c r="C87" s="56">
        <v>0</v>
      </c>
      <c r="D87" s="56">
        <v>0</v>
      </c>
      <c r="E87" s="56">
        <v>0</v>
      </c>
      <c r="F87" s="56">
        <v>0</v>
      </c>
    </row>
    <row r="88" spans="1:6" ht="15.75" x14ac:dyDescent="0.25">
      <c r="A88" s="9">
        <v>12</v>
      </c>
      <c r="B88" s="9" t="s">
        <v>155</v>
      </c>
      <c r="C88" s="56">
        <v>10217</v>
      </c>
      <c r="D88" s="56">
        <v>0</v>
      </c>
      <c r="E88" s="56">
        <v>0</v>
      </c>
      <c r="F88" s="56">
        <v>3337</v>
      </c>
    </row>
    <row r="89" spans="1:6" ht="15.75" x14ac:dyDescent="0.25">
      <c r="A89" s="9"/>
      <c r="B89" s="55" t="s">
        <v>138</v>
      </c>
      <c r="C89" s="57">
        <f>SUM(C77:C88)</f>
        <v>35325</v>
      </c>
      <c r="D89" s="57">
        <f>SUM(D77:D88)</f>
        <v>241750</v>
      </c>
      <c r="E89" s="57">
        <f>SUM(E77:E88)</f>
        <v>10550</v>
      </c>
      <c r="F89" s="57">
        <f>SUM(F77:F88)</f>
        <v>33139</v>
      </c>
    </row>
    <row r="90" spans="1:6" ht="15.75" thickBot="1" x14ac:dyDescent="0.3"/>
    <row r="91" spans="1:6" ht="16.5" thickBot="1" x14ac:dyDescent="0.3">
      <c r="D91" s="12" t="s">
        <v>203</v>
      </c>
      <c r="E91" s="12"/>
      <c r="F91" s="65">
        <f>SUM(C89+D89+E89)-(F89)</f>
        <v>254486</v>
      </c>
    </row>
    <row r="110" spans="2:2" ht="18.75" x14ac:dyDescent="0.3">
      <c r="B110" s="5" t="s">
        <v>80</v>
      </c>
    </row>
    <row r="111" spans="2:2" ht="18.75" x14ac:dyDescent="0.3">
      <c r="B111" s="5" t="s">
        <v>64</v>
      </c>
    </row>
    <row r="112" spans="2:2" ht="18.75" x14ac:dyDescent="0.3">
      <c r="B112" s="5" t="s">
        <v>162</v>
      </c>
    </row>
    <row r="113" spans="1:7" x14ac:dyDescent="0.25">
      <c r="A113" s="1" t="s">
        <v>163</v>
      </c>
      <c r="B113" s="3" t="s">
        <v>164</v>
      </c>
      <c r="C113" s="1" t="s">
        <v>165</v>
      </c>
      <c r="D113" s="13">
        <v>42278</v>
      </c>
      <c r="E113" s="13">
        <v>42309</v>
      </c>
      <c r="F113" s="13">
        <v>42339</v>
      </c>
      <c r="G113" s="1" t="s">
        <v>166</v>
      </c>
    </row>
    <row r="114" spans="1:7" x14ac:dyDescent="0.25">
      <c r="A114" s="1">
        <v>1</v>
      </c>
      <c r="B114" s="1" t="s">
        <v>167</v>
      </c>
      <c r="C114" s="14">
        <v>450000</v>
      </c>
      <c r="D114" s="14"/>
      <c r="E114" s="14"/>
      <c r="F114" s="14"/>
      <c r="G114" s="14">
        <f>SUM(C114:F114)</f>
        <v>450000</v>
      </c>
    </row>
    <row r="115" spans="1:7" x14ac:dyDescent="0.25">
      <c r="A115" s="1">
        <v>2</v>
      </c>
      <c r="B115" s="1" t="s">
        <v>168</v>
      </c>
      <c r="C115" s="14">
        <v>460000</v>
      </c>
      <c r="D115" s="14"/>
      <c r="E115" s="14"/>
      <c r="F115" s="14"/>
      <c r="G115" s="14">
        <f t="shared" ref="G115:G150" si="7">SUM(C115:F115)</f>
        <v>460000</v>
      </c>
    </row>
    <row r="116" spans="1:7" x14ac:dyDescent="0.25">
      <c r="A116" s="1">
        <v>3</v>
      </c>
      <c r="B116" s="1" t="s">
        <v>169</v>
      </c>
      <c r="C116" s="14">
        <v>420000</v>
      </c>
      <c r="D116" s="14">
        <v>20000</v>
      </c>
      <c r="E116" s="14"/>
      <c r="F116" s="14"/>
      <c r="G116" s="14">
        <f t="shared" si="7"/>
        <v>440000</v>
      </c>
    </row>
    <row r="117" spans="1:7" x14ac:dyDescent="0.25">
      <c r="A117" s="1">
        <v>4</v>
      </c>
      <c r="B117" s="1" t="s">
        <v>170</v>
      </c>
      <c r="C117" s="14">
        <v>450000</v>
      </c>
      <c r="D117" s="14"/>
      <c r="E117" s="14"/>
      <c r="F117" s="14"/>
      <c r="G117" s="14">
        <f t="shared" si="7"/>
        <v>450000</v>
      </c>
    </row>
    <row r="118" spans="1:7" x14ac:dyDescent="0.25">
      <c r="A118" s="1">
        <v>5</v>
      </c>
      <c r="B118" s="1" t="s">
        <v>171</v>
      </c>
      <c r="C118" s="14">
        <v>150000</v>
      </c>
      <c r="D118" s="14">
        <v>50000</v>
      </c>
      <c r="E118" s="14">
        <v>0</v>
      </c>
      <c r="F118" s="14"/>
      <c r="G118" s="14">
        <f t="shared" si="7"/>
        <v>200000</v>
      </c>
    </row>
    <row r="119" spans="1:7" x14ac:dyDescent="0.25">
      <c r="A119" s="1">
        <v>6</v>
      </c>
      <c r="B119" s="1" t="s">
        <v>174</v>
      </c>
      <c r="C119" s="14">
        <v>540000</v>
      </c>
      <c r="D119" s="14">
        <v>20000</v>
      </c>
      <c r="E119" s="14"/>
      <c r="F119" s="14"/>
      <c r="G119" s="14">
        <f t="shared" si="7"/>
        <v>560000</v>
      </c>
    </row>
    <row r="120" spans="1:7" x14ac:dyDescent="0.25">
      <c r="A120" s="1">
        <v>7</v>
      </c>
      <c r="B120" s="1" t="s">
        <v>172</v>
      </c>
      <c r="C120" s="14">
        <v>200000</v>
      </c>
      <c r="D120" s="14"/>
      <c r="E120" s="14"/>
      <c r="F120" s="14"/>
      <c r="G120" s="14">
        <f t="shared" si="7"/>
        <v>200000</v>
      </c>
    </row>
    <row r="121" spans="1:7" x14ac:dyDescent="0.25">
      <c r="A121" s="1">
        <v>8</v>
      </c>
      <c r="B121" s="1" t="s">
        <v>173</v>
      </c>
      <c r="C121" s="14">
        <v>300000</v>
      </c>
      <c r="D121" s="14">
        <v>50000</v>
      </c>
      <c r="E121" s="14"/>
      <c r="F121" s="14"/>
      <c r="G121" s="14">
        <f t="shared" si="7"/>
        <v>350000</v>
      </c>
    </row>
    <row r="122" spans="1:7" x14ac:dyDescent="0.25">
      <c r="A122" s="1">
        <v>9</v>
      </c>
      <c r="B122" s="1" t="s">
        <v>175</v>
      </c>
      <c r="C122" s="14">
        <v>300000</v>
      </c>
      <c r="D122" s="14"/>
      <c r="E122" s="14"/>
      <c r="F122" s="14"/>
      <c r="G122" s="14">
        <f t="shared" si="7"/>
        <v>300000</v>
      </c>
    </row>
    <row r="123" spans="1:7" x14ac:dyDescent="0.25">
      <c r="A123" s="1">
        <v>10</v>
      </c>
      <c r="B123" s="1" t="s">
        <v>176</v>
      </c>
      <c r="C123" s="14">
        <v>150000</v>
      </c>
      <c r="D123" s="14"/>
      <c r="E123" s="14"/>
      <c r="F123" s="14"/>
      <c r="G123" s="14">
        <f t="shared" si="7"/>
        <v>150000</v>
      </c>
    </row>
    <row r="124" spans="1:7" x14ac:dyDescent="0.25">
      <c r="A124" s="1">
        <v>11</v>
      </c>
      <c r="B124" s="1" t="s">
        <v>177</v>
      </c>
      <c r="C124" s="14">
        <v>430000</v>
      </c>
      <c r="D124" s="14"/>
      <c r="E124" s="14"/>
      <c r="F124" s="14"/>
      <c r="G124" s="14">
        <f t="shared" si="7"/>
        <v>430000</v>
      </c>
    </row>
    <row r="125" spans="1:7" x14ac:dyDescent="0.25">
      <c r="A125" s="1">
        <v>12</v>
      </c>
      <c r="B125" s="1" t="s">
        <v>178</v>
      </c>
      <c r="C125" s="14">
        <v>545000</v>
      </c>
      <c r="D125" s="14">
        <v>15000</v>
      </c>
      <c r="E125" s="14"/>
      <c r="F125" s="14"/>
      <c r="G125" s="14">
        <f t="shared" si="7"/>
        <v>560000</v>
      </c>
    </row>
    <row r="126" spans="1:7" x14ac:dyDescent="0.25">
      <c r="A126" s="1">
        <v>13</v>
      </c>
      <c r="B126" s="1" t="s">
        <v>179</v>
      </c>
      <c r="C126" s="14">
        <v>500000</v>
      </c>
      <c r="D126" s="14"/>
      <c r="E126" s="14"/>
      <c r="F126" s="14"/>
      <c r="G126" s="14">
        <f t="shared" si="7"/>
        <v>500000</v>
      </c>
    </row>
    <row r="127" spans="1:7" x14ac:dyDescent="0.25">
      <c r="A127" s="1">
        <v>14</v>
      </c>
      <c r="B127" s="1" t="s">
        <v>180</v>
      </c>
      <c r="C127" s="14">
        <v>340000</v>
      </c>
      <c r="D127" s="14">
        <v>40000</v>
      </c>
      <c r="E127" s="14"/>
      <c r="F127" s="14"/>
      <c r="G127" s="14">
        <f t="shared" si="7"/>
        <v>380000</v>
      </c>
    </row>
    <row r="128" spans="1:7" x14ac:dyDescent="0.25">
      <c r="A128" s="1">
        <v>15</v>
      </c>
      <c r="B128" s="1" t="s">
        <v>181</v>
      </c>
      <c r="C128" s="14">
        <v>500000</v>
      </c>
      <c r="D128" s="14"/>
      <c r="E128" s="14"/>
      <c r="F128" s="14"/>
      <c r="G128" s="14">
        <f t="shared" si="7"/>
        <v>500000</v>
      </c>
    </row>
    <row r="129" spans="1:7" x14ac:dyDescent="0.25">
      <c r="A129" s="1">
        <v>16</v>
      </c>
      <c r="B129" s="1" t="s">
        <v>182</v>
      </c>
      <c r="C129" s="14">
        <v>215000</v>
      </c>
      <c r="D129" s="14">
        <v>15000</v>
      </c>
      <c r="E129" s="14"/>
      <c r="F129" s="14"/>
      <c r="G129" s="14">
        <f t="shared" si="7"/>
        <v>230000</v>
      </c>
    </row>
    <row r="130" spans="1:7" x14ac:dyDescent="0.25">
      <c r="A130" s="1">
        <v>17</v>
      </c>
      <c r="B130" s="1" t="s">
        <v>183</v>
      </c>
      <c r="C130" s="14">
        <v>300000</v>
      </c>
      <c r="D130" s="14">
        <v>20000</v>
      </c>
      <c r="E130" s="14"/>
      <c r="F130" s="14"/>
      <c r="G130" s="14">
        <f t="shared" si="7"/>
        <v>320000</v>
      </c>
    </row>
    <row r="131" spans="1:7" x14ac:dyDescent="0.25">
      <c r="A131" s="1">
        <v>18</v>
      </c>
      <c r="B131" s="1" t="s">
        <v>184</v>
      </c>
      <c r="C131" s="14">
        <v>500000</v>
      </c>
      <c r="D131" s="14"/>
      <c r="E131" s="14"/>
      <c r="F131" s="14"/>
      <c r="G131" s="14">
        <f t="shared" si="7"/>
        <v>500000</v>
      </c>
    </row>
    <row r="132" spans="1:7" x14ac:dyDescent="0.25">
      <c r="A132" s="1">
        <v>19</v>
      </c>
      <c r="B132" s="1" t="s">
        <v>185</v>
      </c>
      <c r="C132" s="14">
        <v>500000</v>
      </c>
      <c r="D132" s="14"/>
      <c r="E132" s="14"/>
      <c r="F132" s="14"/>
      <c r="G132" s="14">
        <f t="shared" si="7"/>
        <v>500000</v>
      </c>
    </row>
    <row r="133" spans="1:7" x14ac:dyDescent="0.25">
      <c r="A133" s="1">
        <v>20</v>
      </c>
      <c r="B133" s="1" t="s">
        <v>186</v>
      </c>
      <c r="C133" s="14">
        <v>500000</v>
      </c>
      <c r="D133" s="14"/>
      <c r="E133" s="14"/>
      <c r="F133" s="14"/>
      <c r="G133" s="14">
        <f t="shared" si="7"/>
        <v>500000</v>
      </c>
    </row>
    <row r="134" spans="1:7" x14ac:dyDescent="0.25">
      <c r="A134" s="1">
        <v>21</v>
      </c>
      <c r="B134" s="1" t="s">
        <v>187</v>
      </c>
      <c r="C134" s="14">
        <v>500000</v>
      </c>
      <c r="D134" s="14"/>
      <c r="E134" s="14"/>
      <c r="F134" s="14"/>
      <c r="G134" s="14">
        <f t="shared" si="7"/>
        <v>500000</v>
      </c>
    </row>
    <row r="135" spans="1:7" x14ac:dyDescent="0.25">
      <c r="A135" s="1">
        <v>22</v>
      </c>
      <c r="B135" s="1" t="s">
        <v>188</v>
      </c>
      <c r="C135" s="14">
        <v>400000</v>
      </c>
      <c r="D135" s="14">
        <v>50000</v>
      </c>
      <c r="E135" s="14"/>
      <c r="F135" s="14"/>
      <c r="G135" s="14">
        <f t="shared" si="7"/>
        <v>450000</v>
      </c>
    </row>
    <row r="136" spans="1:7" x14ac:dyDescent="0.25">
      <c r="A136" s="1">
        <v>23</v>
      </c>
      <c r="B136" s="1" t="s">
        <v>189</v>
      </c>
      <c r="C136" s="14">
        <v>300000</v>
      </c>
      <c r="D136" s="14"/>
      <c r="E136" s="14"/>
      <c r="F136" s="14"/>
      <c r="G136" s="14">
        <f t="shared" si="7"/>
        <v>300000</v>
      </c>
    </row>
    <row r="137" spans="1:7" x14ac:dyDescent="0.25">
      <c r="A137" s="1">
        <v>24</v>
      </c>
      <c r="B137" s="1" t="s">
        <v>190</v>
      </c>
      <c r="C137" s="14">
        <v>200000</v>
      </c>
      <c r="D137" s="14"/>
      <c r="E137" s="14"/>
      <c r="F137" s="14"/>
      <c r="G137" s="14">
        <f t="shared" si="7"/>
        <v>200000</v>
      </c>
    </row>
    <row r="138" spans="1:7" x14ac:dyDescent="0.25">
      <c r="A138" s="1">
        <v>25</v>
      </c>
      <c r="B138" s="1" t="s">
        <v>191</v>
      </c>
      <c r="C138" s="14">
        <v>541000</v>
      </c>
      <c r="D138" s="14">
        <v>41000</v>
      </c>
      <c r="E138" s="14"/>
      <c r="F138" s="14"/>
      <c r="G138" s="14">
        <f t="shared" si="7"/>
        <v>582000</v>
      </c>
    </row>
    <row r="139" spans="1:7" x14ac:dyDescent="0.25">
      <c r="A139" s="1">
        <v>26</v>
      </c>
      <c r="B139" s="1" t="s">
        <v>192</v>
      </c>
      <c r="C139" s="14">
        <v>300000</v>
      </c>
      <c r="D139" s="14"/>
      <c r="E139" s="14"/>
      <c r="F139" s="14"/>
      <c r="G139" s="14">
        <f t="shared" si="7"/>
        <v>300000</v>
      </c>
    </row>
    <row r="140" spans="1:7" x14ac:dyDescent="0.25">
      <c r="A140" s="1">
        <v>27</v>
      </c>
      <c r="B140" s="1" t="s">
        <v>193</v>
      </c>
      <c r="C140" s="14">
        <v>540000</v>
      </c>
      <c r="D140" s="14">
        <v>40000</v>
      </c>
      <c r="E140" s="14"/>
      <c r="F140" s="14"/>
      <c r="G140" s="14">
        <f t="shared" si="7"/>
        <v>580000</v>
      </c>
    </row>
    <row r="141" spans="1:7" x14ac:dyDescent="0.25">
      <c r="A141" s="1">
        <v>28</v>
      </c>
      <c r="B141" s="1" t="s">
        <v>194</v>
      </c>
      <c r="C141" s="14">
        <v>500000</v>
      </c>
      <c r="D141" s="14"/>
      <c r="E141" s="14"/>
      <c r="F141" s="14"/>
      <c r="G141" s="14">
        <f t="shared" si="7"/>
        <v>500000</v>
      </c>
    </row>
    <row r="142" spans="1:7" x14ac:dyDescent="0.25">
      <c r="A142" s="1">
        <v>29</v>
      </c>
      <c r="B142" s="1" t="s">
        <v>195</v>
      </c>
      <c r="C142" s="14">
        <v>800000</v>
      </c>
      <c r="D142" s="14">
        <v>100000</v>
      </c>
      <c r="E142" s="14"/>
      <c r="F142" s="14"/>
      <c r="G142" s="14">
        <f t="shared" si="7"/>
        <v>900000</v>
      </c>
    </row>
    <row r="143" spans="1:7" x14ac:dyDescent="0.25">
      <c r="A143" s="1">
        <v>30</v>
      </c>
      <c r="B143" s="1" t="s">
        <v>196</v>
      </c>
      <c r="C143" s="14">
        <v>15000</v>
      </c>
      <c r="D143" s="14"/>
      <c r="E143" s="14"/>
      <c r="F143" s="14"/>
      <c r="G143" s="14">
        <f t="shared" si="7"/>
        <v>15000</v>
      </c>
    </row>
    <row r="144" spans="1:7" x14ac:dyDescent="0.25">
      <c r="A144" s="38">
        <v>31</v>
      </c>
      <c r="B144" s="1" t="s">
        <v>197</v>
      </c>
      <c r="C144" s="14">
        <v>450000</v>
      </c>
      <c r="D144" s="14"/>
      <c r="E144" s="14"/>
      <c r="F144" s="14"/>
      <c r="G144" s="14">
        <f t="shared" si="7"/>
        <v>450000</v>
      </c>
    </row>
    <row r="145" spans="1:7" x14ac:dyDescent="0.25">
      <c r="A145" s="38">
        <v>32</v>
      </c>
      <c r="B145" s="1" t="s">
        <v>198</v>
      </c>
      <c r="C145" s="14">
        <v>400000</v>
      </c>
      <c r="D145" s="14"/>
      <c r="E145" s="14"/>
      <c r="F145" s="14"/>
      <c r="G145" s="14">
        <f t="shared" si="7"/>
        <v>400000</v>
      </c>
    </row>
    <row r="146" spans="1:7" x14ac:dyDescent="0.25">
      <c r="A146" s="38">
        <v>33</v>
      </c>
      <c r="B146" s="1" t="s">
        <v>199</v>
      </c>
      <c r="C146" s="14">
        <v>100000</v>
      </c>
      <c r="D146" s="14"/>
      <c r="E146" s="14"/>
      <c r="F146" s="14"/>
      <c r="G146" s="14">
        <f t="shared" si="7"/>
        <v>100000</v>
      </c>
    </row>
    <row r="147" spans="1:7" x14ac:dyDescent="0.25">
      <c r="A147" s="38"/>
      <c r="B147" s="1" t="s">
        <v>202</v>
      </c>
      <c r="C147" s="14">
        <v>90000</v>
      </c>
      <c r="D147" s="14"/>
      <c r="E147" s="14"/>
      <c r="F147" s="14"/>
      <c r="G147" s="14">
        <f t="shared" si="7"/>
        <v>90000</v>
      </c>
    </row>
    <row r="148" spans="1:7" x14ac:dyDescent="0.25">
      <c r="A148" s="38">
        <v>34</v>
      </c>
      <c r="B148" s="1" t="s">
        <v>200</v>
      </c>
      <c r="C148" s="14">
        <v>0</v>
      </c>
      <c r="D148" s="14">
        <v>100000</v>
      </c>
      <c r="E148" s="14"/>
      <c r="F148" s="14"/>
      <c r="G148" s="14">
        <f t="shared" si="7"/>
        <v>100000</v>
      </c>
    </row>
    <row r="149" spans="1:7" x14ac:dyDescent="0.25">
      <c r="A149" s="38">
        <v>35</v>
      </c>
      <c r="B149" s="1" t="s">
        <v>201</v>
      </c>
      <c r="C149" s="14">
        <v>0</v>
      </c>
      <c r="D149" s="14">
        <v>100000</v>
      </c>
      <c r="E149" s="14"/>
      <c r="F149" s="14"/>
      <c r="G149" s="14">
        <f t="shared" si="7"/>
        <v>100000</v>
      </c>
    </row>
    <row r="150" spans="1:7" x14ac:dyDescent="0.25">
      <c r="A150" s="1"/>
      <c r="B150" s="58" t="s">
        <v>138</v>
      </c>
      <c r="C150" s="15">
        <f>SUM(C114:C149)</f>
        <v>12886000</v>
      </c>
      <c r="D150" s="15">
        <f>SUM(D114:D149)</f>
        <v>661000</v>
      </c>
      <c r="E150" s="15"/>
      <c r="F150" s="15"/>
      <c r="G150" s="14">
        <f t="shared" si="7"/>
        <v>13547000</v>
      </c>
    </row>
  </sheetData>
  <pageMargins left="0.7" right="0.7" top="0.75" bottom="0.75" header="0.3" footer="0.3"/>
  <pageSetup paperSize="9" scale="9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19"/>
  <sheetViews>
    <sheetView topLeftCell="A508" workbookViewId="0">
      <selection activeCell="A469" sqref="A469:G519"/>
    </sheetView>
  </sheetViews>
  <sheetFormatPr defaultRowHeight="15" x14ac:dyDescent="0.25"/>
  <cols>
    <col min="1" max="1" width="4.5703125" customWidth="1"/>
    <col min="2" max="2" width="30.42578125" customWidth="1"/>
    <col min="3" max="3" width="11.5703125" customWidth="1"/>
    <col min="4" max="4" width="10.42578125" customWidth="1"/>
    <col min="5" max="5" width="10.7109375" customWidth="1"/>
    <col min="6" max="6" width="10.28515625" customWidth="1"/>
    <col min="7" max="7" width="11.5703125" customWidth="1"/>
  </cols>
  <sheetData>
    <row r="2" spans="1:7" ht="18.75" x14ac:dyDescent="0.3">
      <c r="B2" s="5" t="s">
        <v>80</v>
      </c>
    </row>
    <row r="3" spans="1:7" ht="18.75" x14ac:dyDescent="0.3">
      <c r="B3" s="5" t="s">
        <v>64</v>
      </c>
    </row>
    <row r="4" spans="1:7" ht="18.75" x14ac:dyDescent="0.3">
      <c r="B4" s="5" t="s">
        <v>162</v>
      </c>
    </row>
    <row r="6" spans="1:7" x14ac:dyDescent="0.25">
      <c r="A6" s="3" t="s">
        <v>163</v>
      </c>
      <c r="B6" s="3" t="s">
        <v>164</v>
      </c>
      <c r="C6" s="59" t="s">
        <v>270</v>
      </c>
      <c r="D6" s="53">
        <v>42552</v>
      </c>
      <c r="E6" s="53">
        <v>42583</v>
      </c>
      <c r="F6" s="53">
        <v>42614</v>
      </c>
      <c r="G6" s="3" t="s">
        <v>166</v>
      </c>
    </row>
    <row r="7" spans="1:7" x14ac:dyDescent="0.25">
      <c r="A7" s="1">
        <v>1</v>
      </c>
      <c r="B7" s="1" t="s">
        <v>167</v>
      </c>
      <c r="C7" s="14">
        <v>480000</v>
      </c>
      <c r="D7" s="14">
        <v>0</v>
      </c>
      <c r="E7" s="14">
        <v>0</v>
      </c>
      <c r="F7" s="14"/>
      <c r="G7" s="14">
        <f>SUM(C7:F7)</f>
        <v>480000</v>
      </c>
    </row>
    <row r="8" spans="1:7" x14ac:dyDescent="0.25">
      <c r="A8" s="1">
        <v>2</v>
      </c>
      <c r="B8" s="1" t="s">
        <v>168</v>
      </c>
      <c r="C8" s="14">
        <v>480000</v>
      </c>
      <c r="D8" s="14">
        <v>0</v>
      </c>
      <c r="E8" s="14">
        <v>5000</v>
      </c>
      <c r="F8" s="14"/>
      <c r="G8" s="14">
        <f t="shared" ref="G8:G50" si="0">SUM(C8:F8)</f>
        <v>485000</v>
      </c>
    </row>
    <row r="9" spans="1:7" x14ac:dyDescent="0.25">
      <c r="A9" s="1">
        <v>3</v>
      </c>
      <c r="B9" s="1" t="s">
        <v>169</v>
      </c>
      <c r="C9" s="14">
        <v>580000</v>
      </c>
      <c r="D9" s="14">
        <v>40000</v>
      </c>
      <c r="E9" s="14">
        <v>20000</v>
      </c>
      <c r="F9" s="14"/>
      <c r="G9" s="14">
        <f t="shared" si="0"/>
        <v>640000</v>
      </c>
    </row>
    <row r="10" spans="1:7" x14ac:dyDescent="0.25">
      <c r="A10" s="1">
        <v>4</v>
      </c>
      <c r="B10" s="1" t="s">
        <v>170</v>
      </c>
      <c r="C10" s="14">
        <v>500000</v>
      </c>
      <c r="D10" s="14">
        <v>0</v>
      </c>
      <c r="E10" s="14">
        <v>0</v>
      </c>
      <c r="F10" s="14"/>
      <c r="G10" s="14">
        <f t="shared" si="0"/>
        <v>500000</v>
      </c>
    </row>
    <row r="11" spans="1:7" x14ac:dyDescent="0.25">
      <c r="A11" s="1">
        <v>5</v>
      </c>
      <c r="B11" s="1" t="s">
        <v>171</v>
      </c>
      <c r="C11" s="14">
        <v>360000</v>
      </c>
      <c r="D11" s="14">
        <v>20000</v>
      </c>
      <c r="E11" s="14">
        <v>40000</v>
      </c>
      <c r="F11" s="14">
        <v>0</v>
      </c>
      <c r="G11" s="14">
        <f t="shared" si="0"/>
        <v>420000</v>
      </c>
    </row>
    <row r="12" spans="1:7" x14ac:dyDescent="0.25">
      <c r="A12" s="1">
        <v>6</v>
      </c>
      <c r="B12" s="1" t="s">
        <v>174</v>
      </c>
      <c r="C12" s="14">
        <v>720000</v>
      </c>
      <c r="D12" s="14">
        <v>20000</v>
      </c>
      <c r="E12" s="14">
        <v>20000</v>
      </c>
      <c r="F12" s="14"/>
      <c r="G12" s="14">
        <f t="shared" si="0"/>
        <v>760000</v>
      </c>
    </row>
    <row r="13" spans="1:7" x14ac:dyDescent="0.25">
      <c r="A13" s="1">
        <v>7</v>
      </c>
      <c r="B13" s="1" t="s">
        <v>172</v>
      </c>
      <c r="C13" s="14">
        <v>240000</v>
      </c>
      <c r="D13" s="14">
        <v>10000</v>
      </c>
      <c r="E13" s="14">
        <v>0</v>
      </c>
      <c r="F13" s="14"/>
      <c r="G13" s="14">
        <f t="shared" si="0"/>
        <v>250000</v>
      </c>
    </row>
    <row r="14" spans="1:7" x14ac:dyDescent="0.25">
      <c r="A14" s="1">
        <v>8</v>
      </c>
      <c r="B14" s="1" t="s">
        <v>173</v>
      </c>
      <c r="C14" s="14">
        <v>500000</v>
      </c>
      <c r="D14" s="14">
        <v>0</v>
      </c>
      <c r="E14" s="14">
        <v>0</v>
      </c>
      <c r="F14" s="14"/>
      <c r="G14" s="14">
        <f t="shared" si="0"/>
        <v>500000</v>
      </c>
    </row>
    <row r="15" spans="1:7" x14ac:dyDescent="0.25">
      <c r="A15" s="1">
        <v>9</v>
      </c>
      <c r="B15" s="1" t="s">
        <v>175</v>
      </c>
      <c r="C15" s="14">
        <v>350000</v>
      </c>
      <c r="D15" s="14">
        <v>0</v>
      </c>
      <c r="E15" s="14">
        <v>0</v>
      </c>
      <c r="F15" s="14"/>
      <c r="G15" s="14">
        <f t="shared" si="0"/>
        <v>350000</v>
      </c>
    </row>
    <row r="16" spans="1:7" x14ac:dyDescent="0.25">
      <c r="A16" s="1">
        <v>10</v>
      </c>
      <c r="B16" s="1" t="s">
        <v>176</v>
      </c>
      <c r="C16" s="14">
        <v>300000</v>
      </c>
      <c r="D16" s="14">
        <v>0</v>
      </c>
      <c r="E16" s="14">
        <v>0</v>
      </c>
      <c r="F16" s="14"/>
      <c r="G16" s="14">
        <f t="shared" si="0"/>
        <v>300000</v>
      </c>
    </row>
    <row r="17" spans="1:7" x14ac:dyDescent="0.25">
      <c r="A17" s="1">
        <v>11</v>
      </c>
      <c r="B17" s="1" t="s">
        <v>177</v>
      </c>
      <c r="C17" s="14">
        <v>480000</v>
      </c>
      <c r="D17" s="14">
        <v>0</v>
      </c>
      <c r="E17" s="14">
        <v>0</v>
      </c>
      <c r="F17" s="14"/>
      <c r="G17" s="14">
        <f t="shared" si="0"/>
        <v>480000</v>
      </c>
    </row>
    <row r="18" spans="1:7" x14ac:dyDescent="0.25">
      <c r="A18" s="1">
        <v>12</v>
      </c>
      <c r="B18" s="1" t="s">
        <v>178</v>
      </c>
      <c r="C18" s="14">
        <v>700000</v>
      </c>
      <c r="D18" s="14">
        <v>20000</v>
      </c>
      <c r="E18" s="14">
        <v>20000</v>
      </c>
      <c r="F18" s="14"/>
      <c r="G18" s="14">
        <f t="shared" si="0"/>
        <v>740000</v>
      </c>
    </row>
    <row r="19" spans="1:7" x14ac:dyDescent="0.25">
      <c r="A19" s="1">
        <v>13</v>
      </c>
      <c r="B19" s="1" t="s">
        <v>179</v>
      </c>
      <c r="C19" s="14">
        <v>570000</v>
      </c>
      <c r="D19" s="14">
        <v>0</v>
      </c>
      <c r="E19" s="14">
        <v>0</v>
      </c>
      <c r="F19" s="14"/>
      <c r="G19" s="14">
        <f t="shared" si="0"/>
        <v>570000</v>
      </c>
    </row>
    <row r="20" spans="1:7" x14ac:dyDescent="0.25">
      <c r="A20" s="1">
        <v>14</v>
      </c>
      <c r="B20" s="1" t="s">
        <v>180</v>
      </c>
      <c r="C20" s="14">
        <v>480000</v>
      </c>
      <c r="D20" s="14">
        <v>0</v>
      </c>
      <c r="E20" s="14">
        <v>0</v>
      </c>
      <c r="F20" s="14"/>
      <c r="G20" s="14">
        <f t="shared" si="0"/>
        <v>480000</v>
      </c>
    </row>
    <row r="21" spans="1:7" x14ac:dyDescent="0.25">
      <c r="A21" s="1">
        <v>15</v>
      </c>
      <c r="B21" s="1" t="s">
        <v>181</v>
      </c>
      <c r="C21" s="14">
        <v>950000</v>
      </c>
      <c r="D21" s="14">
        <v>30000</v>
      </c>
      <c r="E21" s="14">
        <v>30000</v>
      </c>
      <c r="F21" s="14"/>
      <c r="G21" s="14">
        <f t="shared" si="0"/>
        <v>1010000</v>
      </c>
    </row>
    <row r="22" spans="1:7" x14ac:dyDescent="0.25">
      <c r="A22" s="1">
        <v>16</v>
      </c>
      <c r="B22" s="1" t="s">
        <v>182</v>
      </c>
      <c r="C22" s="14">
        <v>275000</v>
      </c>
      <c r="D22" s="14">
        <v>15000</v>
      </c>
      <c r="E22" s="14">
        <v>0</v>
      </c>
      <c r="F22" s="14"/>
      <c r="G22" s="14">
        <f t="shared" si="0"/>
        <v>290000</v>
      </c>
    </row>
    <row r="23" spans="1:7" x14ac:dyDescent="0.25">
      <c r="A23" s="1">
        <v>17</v>
      </c>
      <c r="B23" s="1" t="s">
        <v>183</v>
      </c>
      <c r="C23" s="14">
        <v>400000</v>
      </c>
      <c r="D23" s="14">
        <v>0</v>
      </c>
      <c r="E23" s="14">
        <v>0</v>
      </c>
      <c r="F23" s="14"/>
      <c r="G23" s="14">
        <f t="shared" si="0"/>
        <v>400000</v>
      </c>
    </row>
    <row r="24" spans="1:7" x14ac:dyDescent="0.25">
      <c r="A24" s="1">
        <v>18</v>
      </c>
      <c r="B24" s="1" t="s">
        <v>184</v>
      </c>
      <c r="C24" s="14">
        <v>656400</v>
      </c>
      <c r="D24" s="14">
        <v>0</v>
      </c>
      <c r="E24" s="14">
        <v>30000</v>
      </c>
      <c r="F24" s="14"/>
      <c r="G24" s="14">
        <f t="shared" si="0"/>
        <v>686400</v>
      </c>
    </row>
    <row r="25" spans="1:7" x14ac:dyDescent="0.25">
      <c r="A25" s="1">
        <v>19</v>
      </c>
      <c r="B25" s="1" t="s">
        <v>185</v>
      </c>
      <c r="C25" s="14">
        <v>500000</v>
      </c>
      <c r="D25" s="14">
        <v>0</v>
      </c>
      <c r="E25" s="14">
        <v>0</v>
      </c>
      <c r="F25" s="14"/>
      <c r="G25" s="14">
        <f t="shared" si="0"/>
        <v>500000</v>
      </c>
    </row>
    <row r="26" spans="1:7" x14ac:dyDescent="0.25">
      <c r="A26" s="1">
        <v>20</v>
      </c>
      <c r="B26" s="1" t="s">
        <v>186</v>
      </c>
      <c r="C26" s="14">
        <v>500000</v>
      </c>
      <c r="D26" s="14">
        <v>0</v>
      </c>
      <c r="E26" s="14">
        <v>0</v>
      </c>
      <c r="F26" s="14"/>
      <c r="G26" s="14">
        <f t="shared" si="0"/>
        <v>500000</v>
      </c>
    </row>
    <row r="27" spans="1:7" x14ac:dyDescent="0.25">
      <c r="A27" s="1">
        <v>21</v>
      </c>
      <c r="B27" s="1" t="s">
        <v>187</v>
      </c>
      <c r="C27" s="14">
        <v>500000</v>
      </c>
      <c r="D27" s="14">
        <v>0</v>
      </c>
      <c r="E27" s="14">
        <v>0</v>
      </c>
      <c r="F27" s="14"/>
      <c r="G27" s="14">
        <f t="shared" si="0"/>
        <v>500000</v>
      </c>
    </row>
    <row r="28" spans="1:7" x14ac:dyDescent="0.25">
      <c r="A28" s="1">
        <v>22</v>
      </c>
      <c r="B28" s="1" t="s">
        <v>188</v>
      </c>
      <c r="C28" s="14">
        <v>450000</v>
      </c>
      <c r="D28" s="14">
        <v>0</v>
      </c>
      <c r="E28" s="14">
        <v>0</v>
      </c>
      <c r="F28" s="14"/>
      <c r="G28" s="14">
        <f t="shared" si="0"/>
        <v>450000</v>
      </c>
    </row>
    <row r="29" spans="1:7" x14ac:dyDescent="0.25">
      <c r="A29" s="1">
        <v>23</v>
      </c>
      <c r="B29" s="1" t="s">
        <v>189</v>
      </c>
      <c r="C29" s="14">
        <v>340000</v>
      </c>
      <c r="D29" s="14">
        <v>0</v>
      </c>
      <c r="E29" s="14">
        <v>0</v>
      </c>
      <c r="F29" s="14"/>
      <c r="G29" s="14">
        <f t="shared" si="0"/>
        <v>340000</v>
      </c>
    </row>
    <row r="30" spans="1:7" x14ac:dyDescent="0.25">
      <c r="A30" s="1">
        <v>24</v>
      </c>
      <c r="B30" s="1" t="s">
        <v>190</v>
      </c>
      <c r="C30" s="14">
        <v>300000</v>
      </c>
      <c r="D30" s="14">
        <v>100000</v>
      </c>
      <c r="E30" s="14">
        <v>0</v>
      </c>
      <c r="F30" s="14"/>
      <c r="G30" s="14">
        <f t="shared" si="0"/>
        <v>400000</v>
      </c>
    </row>
    <row r="31" spans="1:7" x14ac:dyDescent="0.25">
      <c r="A31" s="1">
        <v>25</v>
      </c>
      <c r="B31" s="1" t="s">
        <v>191</v>
      </c>
      <c r="C31" s="14">
        <v>679000</v>
      </c>
      <c r="D31" s="14">
        <v>0</v>
      </c>
      <c r="E31" s="14">
        <v>0</v>
      </c>
      <c r="F31" s="14"/>
      <c r="G31" s="14">
        <f t="shared" si="0"/>
        <v>679000</v>
      </c>
    </row>
    <row r="32" spans="1:7" x14ac:dyDescent="0.25">
      <c r="A32" s="1">
        <v>26</v>
      </c>
      <c r="B32" s="1" t="s">
        <v>192</v>
      </c>
      <c r="C32" s="14">
        <v>300000</v>
      </c>
      <c r="D32" s="14">
        <v>0</v>
      </c>
      <c r="E32" s="14">
        <v>0</v>
      </c>
      <c r="F32" s="14"/>
      <c r="G32" s="14">
        <f t="shared" si="0"/>
        <v>300000</v>
      </c>
    </row>
    <row r="33" spans="1:7" x14ac:dyDescent="0.25">
      <c r="A33" s="1">
        <v>27</v>
      </c>
      <c r="B33" s="1" t="s">
        <v>193</v>
      </c>
      <c r="C33" s="14">
        <v>1200000</v>
      </c>
      <c r="D33" s="14">
        <v>0</v>
      </c>
      <c r="E33" s="14">
        <v>0</v>
      </c>
      <c r="F33" s="14"/>
      <c r="G33" s="14">
        <f t="shared" si="0"/>
        <v>1200000</v>
      </c>
    </row>
    <row r="34" spans="1:7" x14ac:dyDescent="0.25">
      <c r="A34" s="1">
        <v>28</v>
      </c>
      <c r="B34" s="1" t="s">
        <v>195</v>
      </c>
      <c r="C34" s="14">
        <v>1180000</v>
      </c>
      <c r="D34" s="14">
        <v>0</v>
      </c>
      <c r="E34" s="14">
        <v>0</v>
      </c>
      <c r="F34" s="14"/>
      <c r="G34" s="14">
        <f t="shared" si="0"/>
        <v>1180000</v>
      </c>
    </row>
    <row r="35" spans="1:7" x14ac:dyDescent="0.25">
      <c r="A35" s="1">
        <v>29</v>
      </c>
      <c r="B35" s="1" t="s">
        <v>196</v>
      </c>
      <c r="C35" s="14">
        <v>15000</v>
      </c>
      <c r="D35" s="14">
        <v>0</v>
      </c>
      <c r="E35" s="14">
        <v>0</v>
      </c>
      <c r="F35" s="14"/>
      <c r="G35" s="14">
        <f t="shared" si="0"/>
        <v>15000</v>
      </c>
    </row>
    <row r="36" spans="1:7" x14ac:dyDescent="0.25">
      <c r="A36" s="1">
        <v>30</v>
      </c>
      <c r="B36" s="1" t="s">
        <v>197</v>
      </c>
      <c r="C36" s="14">
        <v>550000</v>
      </c>
      <c r="D36" s="14">
        <v>0</v>
      </c>
      <c r="E36" s="14">
        <v>0</v>
      </c>
      <c r="F36" s="14"/>
      <c r="G36" s="14">
        <f t="shared" si="0"/>
        <v>550000</v>
      </c>
    </row>
    <row r="37" spans="1:7" x14ac:dyDescent="0.25">
      <c r="A37" s="38">
        <v>31</v>
      </c>
      <c r="B37" s="1" t="s">
        <v>198</v>
      </c>
      <c r="C37" s="14">
        <v>420000</v>
      </c>
      <c r="D37" s="14">
        <v>0</v>
      </c>
      <c r="E37" s="14">
        <v>0</v>
      </c>
      <c r="F37" s="14"/>
      <c r="G37" s="14">
        <f t="shared" si="0"/>
        <v>420000</v>
      </c>
    </row>
    <row r="38" spans="1:7" x14ac:dyDescent="0.25">
      <c r="A38" s="38">
        <v>32</v>
      </c>
      <c r="B38" s="1" t="s">
        <v>238</v>
      </c>
      <c r="C38" s="14">
        <v>150000</v>
      </c>
      <c r="D38" s="14">
        <v>0</v>
      </c>
      <c r="E38" s="14">
        <v>0</v>
      </c>
      <c r="F38" s="14"/>
      <c r="G38" s="14">
        <f t="shared" si="0"/>
        <v>150000</v>
      </c>
    </row>
    <row r="39" spans="1:7" x14ac:dyDescent="0.25">
      <c r="A39" s="38">
        <v>33</v>
      </c>
      <c r="B39" s="1" t="s">
        <v>201</v>
      </c>
      <c r="C39" s="14">
        <v>500000</v>
      </c>
      <c r="D39" s="14">
        <v>0</v>
      </c>
      <c r="E39" s="14">
        <v>0</v>
      </c>
      <c r="F39" s="14"/>
      <c r="G39" s="14">
        <f t="shared" si="0"/>
        <v>500000</v>
      </c>
    </row>
    <row r="40" spans="1:7" x14ac:dyDescent="0.25">
      <c r="A40" s="38">
        <v>34</v>
      </c>
      <c r="B40" s="1" t="s">
        <v>204</v>
      </c>
      <c r="C40" s="14">
        <v>470000</v>
      </c>
      <c r="D40" s="14">
        <v>0</v>
      </c>
      <c r="E40" s="14">
        <v>0</v>
      </c>
      <c r="F40" s="14"/>
      <c r="G40" s="14">
        <f t="shared" si="0"/>
        <v>470000</v>
      </c>
    </row>
    <row r="41" spans="1:7" x14ac:dyDescent="0.25">
      <c r="A41" s="38">
        <v>35</v>
      </c>
      <c r="B41" s="1" t="s">
        <v>205</v>
      </c>
      <c r="C41" s="14">
        <v>500000</v>
      </c>
      <c r="D41" s="14">
        <v>0</v>
      </c>
      <c r="E41" s="14">
        <v>0</v>
      </c>
      <c r="F41" s="14"/>
      <c r="G41" s="14">
        <f t="shared" si="0"/>
        <v>500000</v>
      </c>
    </row>
    <row r="42" spans="1:7" x14ac:dyDescent="0.25">
      <c r="A42" s="38">
        <v>36</v>
      </c>
      <c r="B42" s="1" t="s">
        <v>208</v>
      </c>
      <c r="C42" s="14">
        <v>550000</v>
      </c>
      <c r="D42" s="14">
        <v>30000</v>
      </c>
      <c r="E42" s="14">
        <v>30000</v>
      </c>
      <c r="F42" s="14"/>
      <c r="G42" s="14">
        <f t="shared" si="0"/>
        <v>610000</v>
      </c>
    </row>
    <row r="43" spans="1:7" x14ac:dyDescent="0.25">
      <c r="A43" s="38">
        <v>37</v>
      </c>
      <c r="B43" s="38" t="s">
        <v>230</v>
      </c>
      <c r="C43" s="14">
        <v>500000</v>
      </c>
      <c r="D43" s="14">
        <v>0</v>
      </c>
      <c r="E43" s="14">
        <v>0</v>
      </c>
      <c r="F43" s="14"/>
      <c r="G43" s="14">
        <f t="shared" si="0"/>
        <v>500000</v>
      </c>
    </row>
    <row r="44" spans="1:7" x14ac:dyDescent="0.25">
      <c r="A44" s="38">
        <v>38</v>
      </c>
      <c r="B44" s="38" t="s">
        <v>236</v>
      </c>
      <c r="C44" s="14">
        <v>400000</v>
      </c>
      <c r="D44" s="14">
        <v>100000</v>
      </c>
      <c r="E44" s="14">
        <v>0</v>
      </c>
      <c r="F44" s="14"/>
      <c r="G44" s="14">
        <f t="shared" si="0"/>
        <v>500000</v>
      </c>
    </row>
    <row r="45" spans="1:7" x14ac:dyDescent="0.25">
      <c r="A45" s="1">
        <v>39</v>
      </c>
      <c r="B45" s="1" t="s">
        <v>273</v>
      </c>
      <c r="C45" s="14">
        <v>0</v>
      </c>
      <c r="D45" s="14">
        <v>500000</v>
      </c>
      <c r="E45" s="14">
        <v>0</v>
      </c>
      <c r="F45" s="14"/>
      <c r="G45" s="14">
        <f t="shared" si="0"/>
        <v>500000</v>
      </c>
    </row>
    <row r="46" spans="1:7" x14ac:dyDescent="0.25">
      <c r="A46" s="1"/>
      <c r="B46" s="1"/>
      <c r="C46" s="14"/>
      <c r="D46" s="14"/>
      <c r="E46" s="14"/>
      <c r="F46" s="14"/>
      <c r="G46" s="14"/>
    </row>
    <row r="47" spans="1:7" x14ac:dyDescent="0.25">
      <c r="A47" s="1"/>
      <c r="B47" s="1"/>
      <c r="C47" s="14"/>
      <c r="D47" s="14"/>
      <c r="E47" s="14"/>
      <c r="F47" s="14"/>
      <c r="G47" s="14"/>
    </row>
    <row r="48" spans="1:7" x14ac:dyDescent="0.25">
      <c r="A48" s="1"/>
      <c r="B48" s="1"/>
      <c r="C48" s="14"/>
      <c r="D48" s="14"/>
      <c r="E48" s="14"/>
      <c r="F48" s="14"/>
      <c r="G48" s="14"/>
    </row>
    <row r="49" spans="1:7" x14ac:dyDescent="0.25">
      <c r="A49" s="1"/>
      <c r="B49" s="1"/>
      <c r="C49" s="14"/>
      <c r="D49" s="14"/>
      <c r="E49" s="14"/>
      <c r="F49" s="14"/>
      <c r="G49" s="14"/>
    </row>
    <row r="50" spans="1:7" x14ac:dyDescent="0.25">
      <c r="A50" s="1"/>
      <c r="B50" s="58" t="s">
        <v>138</v>
      </c>
      <c r="C50" s="15">
        <f>SUM(C7:C45)</f>
        <v>19025400</v>
      </c>
      <c r="D50" s="15">
        <f>SUM(D7:D49)</f>
        <v>885000</v>
      </c>
      <c r="E50" s="15">
        <f>SUM(E7:E45)</f>
        <v>195000</v>
      </c>
      <c r="F50" s="15">
        <f>SUM(F7:F45)</f>
        <v>0</v>
      </c>
      <c r="G50" s="15">
        <f t="shared" si="0"/>
        <v>20105400</v>
      </c>
    </row>
    <row r="54" spans="1:7" ht="18.75" x14ac:dyDescent="0.3">
      <c r="B54" s="5" t="s">
        <v>80</v>
      </c>
    </row>
    <row r="55" spans="1:7" ht="18.75" x14ac:dyDescent="0.3">
      <c r="B55" s="5" t="s">
        <v>64</v>
      </c>
    </row>
    <row r="56" spans="1:7" ht="18.75" x14ac:dyDescent="0.3">
      <c r="B56" s="5" t="s">
        <v>162</v>
      </c>
    </row>
    <row r="58" spans="1:7" x14ac:dyDescent="0.25">
      <c r="A58" s="3" t="s">
        <v>163</v>
      </c>
      <c r="B58" s="3" t="s">
        <v>164</v>
      </c>
      <c r="C58" s="59" t="s">
        <v>221</v>
      </c>
      <c r="D58" s="53">
        <v>42370</v>
      </c>
      <c r="E58" s="53">
        <v>42401</v>
      </c>
      <c r="F58" s="53">
        <v>42430</v>
      </c>
      <c r="G58" s="3" t="s">
        <v>166</v>
      </c>
    </row>
    <row r="59" spans="1:7" x14ac:dyDescent="0.25">
      <c r="A59" s="1">
        <v>1</v>
      </c>
      <c r="B59" s="1" t="s">
        <v>167</v>
      </c>
      <c r="C59" s="14">
        <v>470000</v>
      </c>
      <c r="D59" s="14">
        <v>0</v>
      </c>
      <c r="E59" s="14">
        <v>0</v>
      </c>
      <c r="F59" s="14">
        <v>0</v>
      </c>
      <c r="G59" s="14">
        <f>SUM(C59:F59)</f>
        <v>470000</v>
      </c>
    </row>
    <row r="60" spans="1:7" x14ac:dyDescent="0.25">
      <c r="A60" s="1">
        <v>2</v>
      </c>
      <c r="B60" s="1" t="s">
        <v>168</v>
      </c>
      <c r="C60" s="14">
        <v>460000</v>
      </c>
      <c r="D60" s="14">
        <v>0</v>
      </c>
      <c r="E60" s="14">
        <v>0</v>
      </c>
      <c r="F60" s="14">
        <v>0</v>
      </c>
      <c r="G60" s="14">
        <f t="shared" ref="G60:G96" si="1">SUM(C60:F60)</f>
        <v>460000</v>
      </c>
    </row>
    <row r="61" spans="1:7" x14ac:dyDescent="0.25">
      <c r="A61" s="1">
        <v>3</v>
      </c>
      <c r="B61" s="1" t="s">
        <v>169</v>
      </c>
      <c r="C61" s="14">
        <v>480000</v>
      </c>
      <c r="D61" s="14">
        <v>20000</v>
      </c>
      <c r="E61" s="14">
        <v>20000</v>
      </c>
      <c r="F61" s="14">
        <v>20000</v>
      </c>
      <c r="G61" s="14">
        <f t="shared" si="1"/>
        <v>540000</v>
      </c>
    </row>
    <row r="62" spans="1:7" x14ac:dyDescent="0.25">
      <c r="A62" s="1">
        <v>4</v>
      </c>
      <c r="B62" s="1" t="s">
        <v>170</v>
      </c>
      <c r="C62" s="14">
        <v>500000</v>
      </c>
      <c r="D62" s="14">
        <v>0</v>
      </c>
      <c r="E62" s="14">
        <v>0</v>
      </c>
      <c r="F62" s="14">
        <v>0</v>
      </c>
      <c r="G62" s="14">
        <f t="shared" si="1"/>
        <v>500000</v>
      </c>
    </row>
    <row r="63" spans="1:7" x14ac:dyDescent="0.25">
      <c r="A63" s="1">
        <v>5</v>
      </c>
      <c r="B63" s="1" t="s">
        <v>171</v>
      </c>
      <c r="C63" s="14">
        <v>250000</v>
      </c>
      <c r="D63" s="14">
        <v>0</v>
      </c>
      <c r="E63" s="14">
        <v>50000</v>
      </c>
      <c r="F63" s="14">
        <v>20000</v>
      </c>
      <c r="G63" s="14">
        <f t="shared" si="1"/>
        <v>320000</v>
      </c>
    </row>
    <row r="64" spans="1:7" x14ac:dyDescent="0.25">
      <c r="A64" s="1">
        <v>6</v>
      </c>
      <c r="B64" s="1" t="s">
        <v>174</v>
      </c>
      <c r="C64" s="14">
        <v>600000</v>
      </c>
      <c r="D64" s="14">
        <v>20000</v>
      </c>
      <c r="E64" s="14">
        <v>20000</v>
      </c>
      <c r="F64" s="14">
        <v>20000</v>
      </c>
      <c r="G64" s="14">
        <f t="shared" si="1"/>
        <v>660000</v>
      </c>
    </row>
    <row r="65" spans="1:7" x14ac:dyDescent="0.25">
      <c r="A65" s="1">
        <v>7</v>
      </c>
      <c r="B65" s="1" t="s">
        <v>172</v>
      </c>
      <c r="C65" s="14">
        <v>210000</v>
      </c>
      <c r="D65" s="14">
        <v>0</v>
      </c>
      <c r="E65" s="14">
        <v>10000</v>
      </c>
      <c r="F65" s="14">
        <v>10000</v>
      </c>
      <c r="G65" s="14">
        <f t="shared" si="1"/>
        <v>230000</v>
      </c>
    </row>
    <row r="66" spans="1:7" x14ac:dyDescent="0.25">
      <c r="A66" s="1">
        <v>8</v>
      </c>
      <c r="B66" s="1" t="s">
        <v>173</v>
      </c>
      <c r="C66" s="14">
        <v>500000</v>
      </c>
      <c r="D66" s="14">
        <v>0</v>
      </c>
      <c r="E66" s="14">
        <v>0</v>
      </c>
      <c r="F66" s="14">
        <v>0</v>
      </c>
      <c r="G66" s="14">
        <f t="shared" si="1"/>
        <v>500000</v>
      </c>
    </row>
    <row r="67" spans="1:7" x14ac:dyDescent="0.25">
      <c r="A67" s="1">
        <v>9</v>
      </c>
      <c r="B67" s="1" t="s">
        <v>175</v>
      </c>
      <c r="C67" s="14">
        <v>300000</v>
      </c>
      <c r="D67" s="14">
        <v>0</v>
      </c>
      <c r="E67" s="14">
        <v>0</v>
      </c>
      <c r="F67" s="14">
        <v>0</v>
      </c>
      <c r="G67" s="14">
        <f t="shared" si="1"/>
        <v>300000</v>
      </c>
    </row>
    <row r="68" spans="1:7" x14ac:dyDescent="0.25">
      <c r="A68" s="1">
        <v>10</v>
      </c>
      <c r="B68" s="1" t="s">
        <v>176</v>
      </c>
      <c r="C68" s="14">
        <v>300000</v>
      </c>
      <c r="D68" s="14">
        <v>0</v>
      </c>
      <c r="E68" s="14">
        <v>0</v>
      </c>
      <c r="F68" s="14">
        <v>0</v>
      </c>
      <c r="G68" s="14">
        <f t="shared" si="1"/>
        <v>300000</v>
      </c>
    </row>
    <row r="69" spans="1:7" x14ac:dyDescent="0.25">
      <c r="A69" s="1">
        <v>11</v>
      </c>
      <c r="B69" s="1" t="s">
        <v>177</v>
      </c>
      <c r="C69" s="14">
        <v>460000</v>
      </c>
      <c r="D69" s="14">
        <v>0</v>
      </c>
      <c r="E69" s="14">
        <v>20000</v>
      </c>
      <c r="F69" s="14">
        <v>0</v>
      </c>
      <c r="G69" s="14">
        <f t="shared" si="1"/>
        <v>480000</v>
      </c>
    </row>
    <row r="70" spans="1:7" x14ac:dyDescent="0.25">
      <c r="A70" s="1">
        <v>12</v>
      </c>
      <c r="B70" s="1" t="s">
        <v>178</v>
      </c>
      <c r="C70" s="14">
        <v>590000</v>
      </c>
      <c r="D70" s="14">
        <v>15000</v>
      </c>
      <c r="E70" s="14">
        <v>15000</v>
      </c>
      <c r="F70" s="14">
        <v>20000</v>
      </c>
      <c r="G70" s="14">
        <f t="shared" si="1"/>
        <v>640000</v>
      </c>
    </row>
    <row r="71" spans="1:7" x14ac:dyDescent="0.25">
      <c r="A71" s="1">
        <v>13</v>
      </c>
      <c r="B71" s="1" t="s">
        <v>179</v>
      </c>
      <c r="C71" s="14">
        <v>500000</v>
      </c>
      <c r="D71" s="14">
        <v>50000</v>
      </c>
      <c r="E71" s="14">
        <v>0</v>
      </c>
      <c r="F71" s="14">
        <v>0</v>
      </c>
      <c r="G71" s="14">
        <f t="shared" si="1"/>
        <v>550000</v>
      </c>
    </row>
    <row r="72" spans="1:7" x14ac:dyDescent="0.25">
      <c r="A72" s="1">
        <v>14</v>
      </c>
      <c r="B72" s="1" t="s">
        <v>180</v>
      </c>
      <c r="C72" s="14">
        <v>380000</v>
      </c>
      <c r="D72" s="14">
        <v>40000</v>
      </c>
      <c r="E72" s="14">
        <v>0</v>
      </c>
      <c r="F72" s="14">
        <v>40000</v>
      </c>
      <c r="G72" s="14">
        <f t="shared" si="1"/>
        <v>460000</v>
      </c>
    </row>
    <row r="73" spans="1:7" x14ac:dyDescent="0.25">
      <c r="A73" s="1">
        <v>15</v>
      </c>
      <c r="B73" s="1" t="s">
        <v>181</v>
      </c>
      <c r="C73" s="14">
        <v>500000</v>
      </c>
      <c r="D73" s="14">
        <v>450000</v>
      </c>
      <c r="E73" s="14">
        <v>0</v>
      </c>
      <c r="F73" s="14">
        <v>0</v>
      </c>
      <c r="G73" s="14">
        <f t="shared" si="1"/>
        <v>950000</v>
      </c>
    </row>
    <row r="74" spans="1:7" x14ac:dyDescent="0.25">
      <c r="A74" s="1">
        <v>16</v>
      </c>
      <c r="B74" s="1" t="s">
        <v>182</v>
      </c>
      <c r="C74" s="14">
        <v>245000</v>
      </c>
      <c r="D74" s="14">
        <v>0</v>
      </c>
      <c r="E74" s="14">
        <v>0</v>
      </c>
      <c r="F74" s="14">
        <v>15000</v>
      </c>
      <c r="G74" s="14">
        <f t="shared" si="1"/>
        <v>260000</v>
      </c>
    </row>
    <row r="75" spans="1:7" x14ac:dyDescent="0.25">
      <c r="A75" s="1">
        <v>17</v>
      </c>
      <c r="B75" s="1" t="s">
        <v>183</v>
      </c>
      <c r="C75" s="14">
        <v>340000</v>
      </c>
      <c r="D75" s="14">
        <v>30000</v>
      </c>
      <c r="E75" s="14">
        <v>0</v>
      </c>
      <c r="F75" s="14">
        <v>0</v>
      </c>
      <c r="G75" s="14">
        <f t="shared" si="1"/>
        <v>370000</v>
      </c>
    </row>
    <row r="76" spans="1:7" x14ac:dyDescent="0.25">
      <c r="A76" s="1">
        <v>18</v>
      </c>
      <c r="B76" s="1" t="s">
        <v>184</v>
      </c>
      <c r="C76" s="14">
        <v>576400</v>
      </c>
      <c r="D76" s="14">
        <v>0</v>
      </c>
      <c r="E76" s="14">
        <v>0</v>
      </c>
      <c r="F76" s="14">
        <v>0</v>
      </c>
      <c r="G76" s="14">
        <f t="shared" si="1"/>
        <v>576400</v>
      </c>
    </row>
    <row r="77" spans="1:7" x14ac:dyDescent="0.25">
      <c r="A77" s="1">
        <v>19</v>
      </c>
      <c r="B77" s="1" t="s">
        <v>185</v>
      </c>
      <c r="C77" s="14">
        <v>500000</v>
      </c>
      <c r="D77" s="14">
        <v>0</v>
      </c>
      <c r="E77" s="14">
        <v>0</v>
      </c>
      <c r="F77" s="14">
        <v>0</v>
      </c>
      <c r="G77" s="14">
        <f t="shared" si="1"/>
        <v>500000</v>
      </c>
    </row>
    <row r="78" spans="1:7" x14ac:dyDescent="0.25">
      <c r="A78" s="1">
        <v>20</v>
      </c>
      <c r="B78" s="1" t="s">
        <v>186</v>
      </c>
      <c r="C78" s="14">
        <v>500000</v>
      </c>
      <c r="D78" s="14">
        <v>0</v>
      </c>
      <c r="E78" s="14">
        <v>0</v>
      </c>
      <c r="F78" s="14">
        <v>0</v>
      </c>
      <c r="G78" s="14">
        <f t="shared" si="1"/>
        <v>500000</v>
      </c>
    </row>
    <row r="79" spans="1:7" x14ac:dyDescent="0.25">
      <c r="A79" s="1">
        <v>21</v>
      </c>
      <c r="B79" s="1" t="s">
        <v>187</v>
      </c>
      <c r="C79" s="14">
        <v>500000</v>
      </c>
      <c r="D79" s="14">
        <v>0</v>
      </c>
      <c r="E79" s="14">
        <v>0</v>
      </c>
      <c r="F79" s="14">
        <v>0</v>
      </c>
      <c r="G79" s="14">
        <f t="shared" si="1"/>
        <v>500000</v>
      </c>
    </row>
    <row r="80" spans="1:7" x14ac:dyDescent="0.25">
      <c r="A80" s="1">
        <v>22</v>
      </c>
      <c r="B80" s="1" t="s">
        <v>188</v>
      </c>
      <c r="C80" s="14">
        <v>450000</v>
      </c>
      <c r="D80" s="14">
        <v>0</v>
      </c>
      <c r="E80" s="14">
        <v>0</v>
      </c>
      <c r="F80" s="14">
        <v>0</v>
      </c>
      <c r="G80" s="14">
        <f t="shared" si="1"/>
        <v>450000</v>
      </c>
    </row>
    <row r="81" spans="1:7" x14ac:dyDescent="0.25">
      <c r="A81" s="1">
        <v>23</v>
      </c>
      <c r="B81" s="1" t="s">
        <v>189</v>
      </c>
      <c r="C81" s="14">
        <v>310000</v>
      </c>
      <c r="D81" s="14">
        <v>0</v>
      </c>
      <c r="E81" s="14">
        <v>10000</v>
      </c>
      <c r="F81" s="14">
        <v>10000</v>
      </c>
      <c r="G81" s="14">
        <f t="shared" si="1"/>
        <v>330000</v>
      </c>
    </row>
    <row r="82" spans="1:7" x14ac:dyDescent="0.25">
      <c r="A82" s="1">
        <v>24</v>
      </c>
      <c r="B82" s="1" t="s">
        <v>190</v>
      </c>
      <c r="C82" s="14">
        <v>300000</v>
      </c>
      <c r="D82" s="14">
        <v>0</v>
      </c>
      <c r="E82" s="14">
        <v>0</v>
      </c>
      <c r="F82" s="14">
        <v>0</v>
      </c>
      <c r="G82" s="14">
        <f t="shared" si="1"/>
        <v>300000</v>
      </c>
    </row>
    <row r="83" spans="1:7" x14ac:dyDescent="0.25">
      <c r="A83" s="1">
        <v>25</v>
      </c>
      <c r="B83" s="1" t="s">
        <v>191</v>
      </c>
      <c r="C83" s="14">
        <v>623000</v>
      </c>
      <c r="D83" s="14">
        <v>40000</v>
      </c>
      <c r="E83" s="14">
        <v>0</v>
      </c>
      <c r="F83" s="14">
        <v>0</v>
      </c>
      <c r="G83" s="14">
        <f t="shared" si="1"/>
        <v>663000</v>
      </c>
    </row>
    <row r="84" spans="1:7" x14ac:dyDescent="0.25">
      <c r="A84" s="1">
        <v>26</v>
      </c>
      <c r="B84" s="1" t="s">
        <v>192</v>
      </c>
      <c r="C84" s="14">
        <v>300000</v>
      </c>
      <c r="D84" s="14">
        <v>0</v>
      </c>
      <c r="E84" s="14">
        <v>0</v>
      </c>
      <c r="F84" s="14">
        <v>0</v>
      </c>
      <c r="G84" s="14">
        <f t="shared" si="1"/>
        <v>300000</v>
      </c>
    </row>
    <row r="85" spans="1:7" x14ac:dyDescent="0.25">
      <c r="A85" s="1">
        <v>27</v>
      </c>
      <c r="B85" s="1" t="s">
        <v>193</v>
      </c>
      <c r="C85" s="14">
        <v>580000</v>
      </c>
      <c r="D85" s="14">
        <v>40000</v>
      </c>
      <c r="E85" s="14">
        <v>0</v>
      </c>
      <c r="F85" s="14">
        <v>60000</v>
      </c>
      <c r="G85" s="14">
        <f t="shared" si="1"/>
        <v>680000</v>
      </c>
    </row>
    <row r="86" spans="1:7" x14ac:dyDescent="0.25">
      <c r="A86" s="1">
        <v>28</v>
      </c>
      <c r="B86" s="1" t="s">
        <v>194</v>
      </c>
      <c r="C86" s="14">
        <v>500000</v>
      </c>
      <c r="D86" s="14">
        <v>-500000</v>
      </c>
      <c r="E86" s="14">
        <v>0</v>
      </c>
      <c r="F86" s="14">
        <v>0</v>
      </c>
      <c r="G86" s="14">
        <f t="shared" si="1"/>
        <v>0</v>
      </c>
    </row>
    <row r="87" spans="1:7" x14ac:dyDescent="0.25">
      <c r="A87" s="1">
        <v>29</v>
      </c>
      <c r="B87" s="1" t="s">
        <v>195</v>
      </c>
      <c r="C87" s="14">
        <v>1000000</v>
      </c>
      <c r="D87" s="14">
        <v>0</v>
      </c>
      <c r="E87" s="14">
        <v>0</v>
      </c>
      <c r="F87" s="14">
        <v>80000</v>
      </c>
      <c r="G87" s="14">
        <f t="shared" si="1"/>
        <v>1080000</v>
      </c>
    </row>
    <row r="88" spans="1:7" x14ac:dyDescent="0.25">
      <c r="A88" s="1">
        <v>30</v>
      </c>
      <c r="B88" s="1" t="s">
        <v>196</v>
      </c>
      <c r="C88" s="14">
        <v>15000</v>
      </c>
      <c r="D88" s="14">
        <v>0</v>
      </c>
      <c r="E88" s="14">
        <v>0</v>
      </c>
      <c r="F88" s="14">
        <v>0</v>
      </c>
      <c r="G88" s="14">
        <f t="shared" si="1"/>
        <v>15000</v>
      </c>
    </row>
    <row r="89" spans="1:7" x14ac:dyDescent="0.25">
      <c r="A89" s="38">
        <v>31</v>
      </c>
      <c r="B89" s="1" t="s">
        <v>197</v>
      </c>
      <c r="C89" s="14">
        <v>500000</v>
      </c>
      <c r="D89" s="14">
        <v>50000</v>
      </c>
      <c r="E89" s="14">
        <v>0</v>
      </c>
      <c r="F89" s="14">
        <v>0</v>
      </c>
      <c r="G89" s="14">
        <f t="shared" si="1"/>
        <v>550000</v>
      </c>
    </row>
    <row r="90" spans="1:7" x14ac:dyDescent="0.25">
      <c r="A90" s="38">
        <v>32</v>
      </c>
      <c r="B90" s="1" t="s">
        <v>198</v>
      </c>
      <c r="C90" s="14">
        <v>410000</v>
      </c>
      <c r="D90" s="14">
        <v>0</v>
      </c>
      <c r="E90" s="14">
        <v>10000</v>
      </c>
      <c r="F90" s="14">
        <v>0</v>
      </c>
      <c r="G90" s="14">
        <f t="shared" si="1"/>
        <v>420000</v>
      </c>
    </row>
    <row r="91" spans="1:7" x14ac:dyDescent="0.25">
      <c r="A91" s="38">
        <v>33</v>
      </c>
      <c r="B91" s="1" t="s">
        <v>199</v>
      </c>
      <c r="C91" s="14">
        <v>100000</v>
      </c>
      <c r="D91" s="14">
        <v>50000</v>
      </c>
      <c r="E91" s="14">
        <v>0</v>
      </c>
      <c r="F91" s="14">
        <v>0</v>
      </c>
      <c r="G91" s="14">
        <f t="shared" si="1"/>
        <v>150000</v>
      </c>
    </row>
    <row r="92" spans="1:7" x14ac:dyDescent="0.25">
      <c r="A92" s="38"/>
      <c r="B92" s="1" t="s">
        <v>202</v>
      </c>
      <c r="C92" s="14">
        <v>90000</v>
      </c>
      <c r="D92" s="14">
        <v>0</v>
      </c>
      <c r="E92" s="14">
        <v>0</v>
      </c>
      <c r="F92" s="14">
        <v>0</v>
      </c>
      <c r="G92" s="14">
        <f t="shared" si="1"/>
        <v>90000</v>
      </c>
    </row>
    <row r="93" spans="1:7" x14ac:dyDescent="0.25">
      <c r="A93" s="38">
        <v>34</v>
      </c>
      <c r="B93" s="1" t="s">
        <v>200</v>
      </c>
      <c r="C93" s="14">
        <v>100000</v>
      </c>
      <c r="D93" s="14">
        <v>0</v>
      </c>
      <c r="E93" s="14">
        <v>0</v>
      </c>
      <c r="F93" s="14">
        <v>0</v>
      </c>
      <c r="G93" s="14">
        <f t="shared" si="1"/>
        <v>100000</v>
      </c>
    </row>
    <row r="94" spans="1:7" x14ac:dyDescent="0.25">
      <c r="A94" s="38">
        <v>35</v>
      </c>
      <c r="B94" s="1" t="s">
        <v>201</v>
      </c>
      <c r="C94" s="14">
        <v>200000</v>
      </c>
      <c r="D94" s="14">
        <v>300000</v>
      </c>
      <c r="E94" s="14">
        <v>0</v>
      </c>
      <c r="F94" s="14">
        <v>0</v>
      </c>
      <c r="G94" s="14">
        <f t="shared" si="1"/>
        <v>500000</v>
      </c>
    </row>
    <row r="95" spans="1:7" x14ac:dyDescent="0.25">
      <c r="A95" s="38">
        <v>36</v>
      </c>
      <c r="B95" s="1" t="s">
        <v>204</v>
      </c>
      <c r="C95" s="14">
        <v>470000</v>
      </c>
      <c r="D95" s="14">
        <v>0</v>
      </c>
      <c r="E95" s="14">
        <v>0</v>
      </c>
      <c r="F95" s="14">
        <v>0</v>
      </c>
      <c r="G95" s="14">
        <f t="shared" si="1"/>
        <v>470000</v>
      </c>
    </row>
    <row r="96" spans="1:7" x14ac:dyDescent="0.25">
      <c r="A96" s="38">
        <v>37</v>
      </c>
      <c r="B96" s="1" t="s">
        <v>205</v>
      </c>
      <c r="C96" s="14">
        <v>350000</v>
      </c>
      <c r="D96" s="14">
        <v>150000</v>
      </c>
      <c r="E96" s="14">
        <v>0</v>
      </c>
      <c r="F96" s="14">
        <v>0</v>
      </c>
      <c r="G96" s="14">
        <f t="shared" si="1"/>
        <v>500000</v>
      </c>
    </row>
    <row r="97" spans="1:7" x14ac:dyDescent="0.25">
      <c r="A97" s="38">
        <v>38</v>
      </c>
      <c r="B97" s="1" t="s">
        <v>208</v>
      </c>
      <c r="C97" s="14">
        <v>250000</v>
      </c>
      <c r="D97" s="14">
        <v>48000</v>
      </c>
      <c r="E97" s="14">
        <v>80000</v>
      </c>
      <c r="F97" s="14">
        <v>80000</v>
      </c>
      <c r="G97" s="14">
        <f t="shared" ref="G97:G101" si="2">SUM(C97:F97)</f>
        <v>458000</v>
      </c>
    </row>
    <row r="98" spans="1:7" x14ac:dyDescent="0.25">
      <c r="A98" s="38">
        <v>39</v>
      </c>
      <c r="B98" s="1" t="s">
        <v>223</v>
      </c>
      <c r="C98" s="14">
        <v>102000</v>
      </c>
      <c r="D98" s="14">
        <v>0</v>
      </c>
      <c r="E98" s="14">
        <v>0</v>
      </c>
      <c r="F98" s="14">
        <v>0</v>
      </c>
      <c r="G98" s="14">
        <f t="shared" si="2"/>
        <v>102000</v>
      </c>
    </row>
    <row r="99" spans="1:7" x14ac:dyDescent="0.25">
      <c r="A99" s="38">
        <v>40</v>
      </c>
      <c r="B99" s="1" t="s">
        <v>222</v>
      </c>
      <c r="C99" s="14">
        <v>0</v>
      </c>
      <c r="D99" s="14">
        <v>350000</v>
      </c>
      <c r="E99" s="14">
        <v>0</v>
      </c>
      <c r="F99" s="14">
        <v>0</v>
      </c>
      <c r="G99" s="14">
        <f t="shared" si="2"/>
        <v>350000</v>
      </c>
    </row>
    <row r="100" spans="1:7" x14ac:dyDescent="0.25">
      <c r="A100" s="38">
        <v>41</v>
      </c>
      <c r="B100" s="1" t="s">
        <v>230</v>
      </c>
      <c r="C100" s="14">
        <v>0</v>
      </c>
      <c r="D100" s="14">
        <v>0</v>
      </c>
      <c r="E100" s="14">
        <v>0</v>
      </c>
      <c r="F100" s="14">
        <v>500000</v>
      </c>
      <c r="G100" s="14">
        <f t="shared" si="2"/>
        <v>500000</v>
      </c>
    </row>
    <row r="101" spans="1:7" x14ac:dyDescent="0.25">
      <c r="A101" s="38">
        <v>42</v>
      </c>
      <c r="B101" s="1" t="s">
        <v>231</v>
      </c>
      <c r="C101" s="14">
        <v>0</v>
      </c>
      <c r="D101" s="14">
        <v>0</v>
      </c>
      <c r="E101" s="14">
        <v>0</v>
      </c>
      <c r="F101" s="14">
        <v>330000</v>
      </c>
      <c r="G101" s="14">
        <f t="shared" si="2"/>
        <v>330000</v>
      </c>
    </row>
    <row r="102" spans="1:7" x14ac:dyDescent="0.25">
      <c r="A102" s="1"/>
      <c r="B102" s="58" t="s">
        <v>138</v>
      </c>
      <c r="C102" s="15">
        <f>SUM(C59:C101)</f>
        <v>15811400</v>
      </c>
      <c r="D102" s="15">
        <f>SUM(D59:D99)</f>
        <v>1153000</v>
      </c>
      <c r="E102" s="15">
        <f>SUM(E59:E99)</f>
        <v>235000</v>
      </c>
      <c r="F102" s="15">
        <f>SUM(F59:F101)</f>
        <v>1205000</v>
      </c>
      <c r="G102" s="15">
        <f>SUM(G59:G101)</f>
        <v>18404400</v>
      </c>
    </row>
    <row r="106" spans="1:7" ht="18.75" x14ac:dyDescent="0.3">
      <c r="B106" s="5" t="s">
        <v>80</v>
      </c>
    </row>
    <row r="107" spans="1:7" ht="18.75" x14ac:dyDescent="0.3">
      <c r="B107" s="5" t="s">
        <v>64</v>
      </c>
    </row>
    <row r="108" spans="1:7" ht="18.75" x14ac:dyDescent="0.3">
      <c r="B108" s="5" t="s">
        <v>162</v>
      </c>
    </row>
    <row r="109" spans="1:7" ht="18.75" x14ac:dyDescent="0.3">
      <c r="B109" s="5" t="s">
        <v>240</v>
      </c>
    </row>
    <row r="110" spans="1:7" x14ac:dyDescent="0.25">
      <c r="A110" s="3" t="s">
        <v>163</v>
      </c>
      <c r="B110" s="3" t="s">
        <v>164</v>
      </c>
      <c r="C110" s="59" t="s">
        <v>221</v>
      </c>
      <c r="D110" s="53">
        <v>42461</v>
      </c>
      <c r="E110" s="53">
        <v>42491</v>
      </c>
      <c r="F110" s="53">
        <v>42522</v>
      </c>
      <c r="G110" s="3" t="s">
        <v>166</v>
      </c>
    </row>
    <row r="111" spans="1:7" x14ac:dyDescent="0.25">
      <c r="A111" s="1">
        <v>1</v>
      </c>
      <c r="B111" s="1" t="s">
        <v>167</v>
      </c>
      <c r="C111" s="27">
        <v>470000</v>
      </c>
      <c r="D111" s="14">
        <v>0</v>
      </c>
      <c r="E111" s="14">
        <v>10000</v>
      </c>
      <c r="F111" s="14"/>
      <c r="G111" s="14">
        <f>SUM(C111:F111)</f>
        <v>480000</v>
      </c>
    </row>
    <row r="112" spans="1:7" x14ac:dyDescent="0.25">
      <c r="A112" s="1">
        <v>2</v>
      </c>
      <c r="B112" s="1" t="s">
        <v>168</v>
      </c>
      <c r="C112" s="27">
        <v>460000</v>
      </c>
      <c r="D112" s="14">
        <v>20000</v>
      </c>
      <c r="E112" s="14">
        <v>0</v>
      </c>
      <c r="F112" s="14"/>
      <c r="G112" s="14">
        <f t="shared" ref="G112:G148" si="3">SUM(C112:F112)</f>
        <v>480000</v>
      </c>
    </row>
    <row r="113" spans="1:7" x14ac:dyDescent="0.25">
      <c r="A113" s="1">
        <v>3</v>
      </c>
      <c r="B113" s="1" t="s">
        <v>169</v>
      </c>
      <c r="C113" s="27">
        <v>540000</v>
      </c>
      <c r="D113" s="14">
        <v>20000</v>
      </c>
      <c r="E113" s="14">
        <v>20000</v>
      </c>
      <c r="F113" s="14"/>
      <c r="G113" s="14">
        <f t="shared" si="3"/>
        <v>580000</v>
      </c>
    </row>
    <row r="114" spans="1:7" x14ac:dyDescent="0.25">
      <c r="A114" s="1">
        <v>4</v>
      </c>
      <c r="B114" s="1" t="s">
        <v>170</v>
      </c>
      <c r="C114" s="27">
        <v>500000</v>
      </c>
      <c r="D114" s="14">
        <v>0</v>
      </c>
      <c r="E114" s="14">
        <v>0</v>
      </c>
      <c r="F114" s="14"/>
      <c r="G114" s="14">
        <f t="shared" si="3"/>
        <v>500000</v>
      </c>
    </row>
    <row r="115" spans="1:7" x14ac:dyDescent="0.25">
      <c r="A115" s="1">
        <v>5</v>
      </c>
      <c r="B115" s="1" t="s">
        <v>171</v>
      </c>
      <c r="C115" s="27">
        <v>320000</v>
      </c>
      <c r="D115" s="14">
        <v>20000</v>
      </c>
      <c r="E115" s="14">
        <v>20000</v>
      </c>
      <c r="F115" s="14"/>
      <c r="G115" s="14">
        <f t="shared" si="3"/>
        <v>360000</v>
      </c>
    </row>
    <row r="116" spans="1:7" x14ac:dyDescent="0.25">
      <c r="A116" s="1">
        <v>6</v>
      </c>
      <c r="B116" s="1" t="s">
        <v>174</v>
      </c>
      <c r="C116" s="27">
        <v>660000</v>
      </c>
      <c r="D116" s="14">
        <v>20000</v>
      </c>
      <c r="E116" s="14">
        <v>0</v>
      </c>
      <c r="F116" s="14">
        <v>40000</v>
      </c>
      <c r="G116" s="14">
        <f t="shared" si="3"/>
        <v>720000</v>
      </c>
    </row>
    <row r="117" spans="1:7" x14ac:dyDescent="0.25">
      <c r="A117" s="1">
        <v>7</v>
      </c>
      <c r="B117" s="1" t="s">
        <v>172</v>
      </c>
      <c r="C117" s="27">
        <v>230000</v>
      </c>
      <c r="D117" s="14">
        <v>0</v>
      </c>
      <c r="E117" s="14">
        <v>10000</v>
      </c>
      <c r="F117" s="14"/>
      <c r="G117" s="14">
        <f t="shared" si="3"/>
        <v>240000</v>
      </c>
    </row>
    <row r="118" spans="1:7" x14ac:dyDescent="0.25">
      <c r="A118" s="1">
        <v>8</v>
      </c>
      <c r="B118" s="1" t="s">
        <v>173</v>
      </c>
      <c r="C118" s="27">
        <v>500000</v>
      </c>
      <c r="D118" s="14">
        <v>0</v>
      </c>
      <c r="E118" s="14">
        <v>0</v>
      </c>
      <c r="F118" s="14"/>
      <c r="G118" s="14">
        <f t="shared" si="3"/>
        <v>500000</v>
      </c>
    </row>
    <row r="119" spans="1:7" x14ac:dyDescent="0.25">
      <c r="A119" s="1">
        <v>9</v>
      </c>
      <c r="B119" s="1" t="s">
        <v>175</v>
      </c>
      <c r="C119" s="27">
        <v>300000</v>
      </c>
      <c r="D119" s="14">
        <v>50000</v>
      </c>
      <c r="E119" s="14">
        <v>0</v>
      </c>
      <c r="F119" s="14"/>
      <c r="G119" s="14">
        <f t="shared" si="3"/>
        <v>350000</v>
      </c>
    </row>
    <row r="120" spans="1:7" x14ac:dyDescent="0.25">
      <c r="A120" s="1">
        <v>10</v>
      </c>
      <c r="B120" s="1" t="s">
        <v>176</v>
      </c>
      <c r="C120" s="27">
        <v>300000</v>
      </c>
      <c r="D120" s="14">
        <v>0</v>
      </c>
      <c r="E120" s="14">
        <v>0</v>
      </c>
      <c r="F120" s="14"/>
      <c r="G120" s="14">
        <f t="shared" si="3"/>
        <v>300000</v>
      </c>
    </row>
    <row r="121" spans="1:7" x14ac:dyDescent="0.25">
      <c r="A121" s="1">
        <v>11</v>
      </c>
      <c r="B121" s="1" t="s">
        <v>177</v>
      </c>
      <c r="C121" s="27">
        <v>480000</v>
      </c>
      <c r="D121" s="14">
        <v>0</v>
      </c>
      <c r="E121" s="14">
        <v>0</v>
      </c>
      <c r="F121" s="14"/>
      <c r="G121" s="14">
        <f t="shared" si="3"/>
        <v>480000</v>
      </c>
    </row>
    <row r="122" spans="1:7" x14ac:dyDescent="0.25">
      <c r="A122" s="1">
        <v>12</v>
      </c>
      <c r="B122" s="1" t="s">
        <v>178</v>
      </c>
      <c r="C122" s="27">
        <v>640000</v>
      </c>
      <c r="D122" s="14">
        <v>20000</v>
      </c>
      <c r="E122" s="14">
        <v>20000</v>
      </c>
      <c r="F122" s="14">
        <v>20000</v>
      </c>
      <c r="G122" s="14">
        <f t="shared" si="3"/>
        <v>700000</v>
      </c>
    </row>
    <row r="123" spans="1:7" x14ac:dyDescent="0.25">
      <c r="A123" s="1">
        <v>13</v>
      </c>
      <c r="B123" s="1" t="s">
        <v>179</v>
      </c>
      <c r="C123" s="27">
        <v>550000</v>
      </c>
      <c r="D123" s="14">
        <v>0</v>
      </c>
      <c r="E123" s="14">
        <v>0</v>
      </c>
      <c r="F123" s="14">
        <v>20000</v>
      </c>
      <c r="G123" s="14">
        <f t="shared" si="3"/>
        <v>570000</v>
      </c>
    </row>
    <row r="124" spans="1:7" x14ac:dyDescent="0.25">
      <c r="A124" s="1">
        <v>14</v>
      </c>
      <c r="B124" s="1" t="s">
        <v>180</v>
      </c>
      <c r="C124" s="27">
        <v>460000</v>
      </c>
      <c r="D124" s="14">
        <v>0</v>
      </c>
      <c r="E124" s="14">
        <v>20000</v>
      </c>
      <c r="F124" s="14"/>
      <c r="G124" s="14">
        <f t="shared" si="3"/>
        <v>480000</v>
      </c>
    </row>
    <row r="125" spans="1:7" x14ac:dyDescent="0.25">
      <c r="A125" s="1">
        <v>15</v>
      </c>
      <c r="B125" s="1" t="s">
        <v>181</v>
      </c>
      <c r="C125" s="27">
        <v>950000</v>
      </c>
      <c r="D125" s="14">
        <v>0</v>
      </c>
      <c r="E125" s="14">
        <v>0</v>
      </c>
      <c r="F125" s="14"/>
      <c r="G125" s="14">
        <f t="shared" si="3"/>
        <v>950000</v>
      </c>
    </row>
    <row r="126" spans="1:7" x14ac:dyDescent="0.25">
      <c r="A126" s="1">
        <v>16</v>
      </c>
      <c r="B126" s="1" t="s">
        <v>182</v>
      </c>
      <c r="C126" s="27">
        <v>260000</v>
      </c>
      <c r="D126" s="14">
        <v>0</v>
      </c>
      <c r="E126" s="14">
        <v>0</v>
      </c>
      <c r="F126" s="14">
        <v>15000</v>
      </c>
      <c r="G126" s="14">
        <f t="shared" si="3"/>
        <v>275000</v>
      </c>
    </row>
    <row r="127" spans="1:7" x14ac:dyDescent="0.25">
      <c r="A127" s="1">
        <v>17</v>
      </c>
      <c r="B127" s="1" t="s">
        <v>183</v>
      </c>
      <c r="C127" s="27">
        <v>370000</v>
      </c>
      <c r="D127" s="14">
        <v>30000</v>
      </c>
      <c r="E127" s="14">
        <v>0</v>
      </c>
      <c r="F127" s="14"/>
      <c r="G127" s="14">
        <f t="shared" si="3"/>
        <v>400000</v>
      </c>
    </row>
    <row r="128" spans="1:7" x14ac:dyDescent="0.25">
      <c r="A128" s="1">
        <v>18</v>
      </c>
      <c r="B128" s="1" t="s">
        <v>184</v>
      </c>
      <c r="C128" s="27">
        <v>576400</v>
      </c>
      <c r="D128" s="14">
        <v>80000</v>
      </c>
      <c r="E128" s="14">
        <v>0</v>
      </c>
      <c r="F128" s="14"/>
      <c r="G128" s="14">
        <f t="shared" si="3"/>
        <v>656400</v>
      </c>
    </row>
    <row r="129" spans="1:7" x14ac:dyDescent="0.25">
      <c r="A129" s="1">
        <v>19</v>
      </c>
      <c r="B129" s="1" t="s">
        <v>185</v>
      </c>
      <c r="C129" s="27">
        <v>500000</v>
      </c>
      <c r="D129" s="14">
        <v>0</v>
      </c>
      <c r="E129" s="14">
        <v>0</v>
      </c>
      <c r="F129" s="14"/>
      <c r="G129" s="14">
        <f t="shared" si="3"/>
        <v>500000</v>
      </c>
    </row>
    <row r="130" spans="1:7" x14ac:dyDescent="0.25">
      <c r="A130" s="1">
        <v>20</v>
      </c>
      <c r="B130" s="1" t="s">
        <v>186</v>
      </c>
      <c r="C130" s="27">
        <v>500000</v>
      </c>
      <c r="D130" s="14">
        <v>0</v>
      </c>
      <c r="E130" s="14">
        <v>0</v>
      </c>
      <c r="F130" s="14"/>
      <c r="G130" s="14">
        <f t="shared" si="3"/>
        <v>500000</v>
      </c>
    </row>
    <row r="131" spans="1:7" x14ac:dyDescent="0.25">
      <c r="A131" s="1">
        <v>21</v>
      </c>
      <c r="B131" s="1" t="s">
        <v>187</v>
      </c>
      <c r="C131" s="27">
        <v>500000</v>
      </c>
      <c r="D131" s="14">
        <v>0</v>
      </c>
      <c r="E131" s="14">
        <v>0</v>
      </c>
      <c r="F131" s="14"/>
      <c r="G131" s="14">
        <f t="shared" si="3"/>
        <v>500000</v>
      </c>
    </row>
    <row r="132" spans="1:7" x14ac:dyDescent="0.25">
      <c r="A132" s="1">
        <v>22</v>
      </c>
      <c r="B132" s="1" t="s">
        <v>188</v>
      </c>
      <c r="C132" s="27">
        <v>450000</v>
      </c>
      <c r="D132" s="14">
        <v>0</v>
      </c>
      <c r="E132" s="14">
        <v>0</v>
      </c>
      <c r="F132" s="14"/>
      <c r="G132" s="14">
        <f t="shared" si="3"/>
        <v>450000</v>
      </c>
    </row>
    <row r="133" spans="1:7" x14ac:dyDescent="0.25">
      <c r="A133" s="1">
        <v>23</v>
      </c>
      <c r="B133" s="1" t="s">
        <v>189</v>
      </c>
      <c r="C133" s="27">
        <v>330000</v>
      </c>
      <c r="D133" s="14">
        <v>0</v>
      </c>
      <c r="E133" s="14">
        <v>0</v>
      </c>
      <c r="F133" s="14">
        <v>10000</v>
      </c>
      <c r="G133" s="14">
        <f t="shared" si="3"/>
        <v>340000</v>
      </c>
    </row>
    <row r="134" spans="1:7" x14ac:dyDescent="0.25">
      <c r="A134" s="1">
        <v>24</v>
      </c>
      <c r="B134" s="1" t="s">
        <v>190</v>
      </c>
      <c r="C134" s="27">
        <v>300000</v>
      </c>
      <c r="D134" s="14">
        <v>0</v>
      </c>
      <c r="E134" s="14">
        <v>0</v>
      </c>
      <c r="F134" s="14"/>
      <c r="G134" s="14">
        <f t="shared" si="3"/>
        <v>300000</v>
      </c>
    </row>
    <row r="135" spans="1:7" x14ac:dyDescent="0.25">
      <c r="A135" s="1">
        <v>25</v>
      </c>
      <c r="B135" s="1" t="s">
        <v>191</v>
      </c>
      <c r="C135" s="27">
        <v>663000</v>
      </c>
      <c r="D135" s="14">
        <v>16000</v>
      </c>
      <c r="E135" s="14">
        <v>0</v>
      </c>
      <c r="F135" s="14"/>
      <c r="G135" s="14">
        <f t="shared" si="3"/>
        <v>679000</v>
      </c>
    </row>
    <row r="136" spans="1:7" x14ac:dyDescent="0.25">
      <c r="A136" s="1">
        <v>26</v>
      </c>
      <c r="B136" s="1" t="s">
        <v>192</v>
      </c>
      <c r="C136" s="27">
        <v>300000</v>
      </c>
      <c r="D136" s="14">
        <v>0</v>
      </c>
      <c r="E136" s="14">
        <v>0</v>
      </c>
      <c r="F136" s="14"/>
      <c r="G136" s="14">
        <f t="shared" si="3"/>
        <v>300000</v>
      </c>
    </row>
    <row r="137" spans="1:7" x14ac:dyDescent="0.25">
      <c r="A137" s="1">
        <v>27</v>
      </c>
      <c r="B137" s="1" t="s">
        <v>193</v>
      </c>
      <c r="C137" s="27">
        <v>680000</v>
      </c>
      <c r="D137" s="14">
        <v>200000</v>
      </c>
      <c r="E137" s="14">
        <v>320000</v>
      </c>
      <c r="F137" s="14"/>
      <c r="G137" s="14">
        <f t="shared" si="3"/>
        <v>1200000</v>
      </c>
    </row>
    <row r="138" spans="1:7" x14ac:dyDescent="0.25">
      <c r="A138" s="1">
        <v>28</v>
      </c>
      <c r="B138" s="1" t="s">
        <v>195</v>
      </c>
      <c r="C138" s="27">
        <v>1080000</v>
      </c>
      <c r="D138" s="14">
        <v>50000</v>
      </c>
      <c r="E138" s="14">
        <v>0</v>
      </c>
      <c r="F138" s="14">
        <v>50000</v>
      </c>
      <c r="G138" s="14">
        <f t="shared" si="3"/>
        <v>1180000</v>
      </c>
    </row>
    <row r="139" spans="1:7" x14ac:dyDescent="0.25">
      <c r="A139" s="1">
        <v>29</v>
      </c>
      <c r="B139" s="1" t="s">
        <v>196</v>
      </c>
      <c r="C139" s="27">
        <v>15000</v>
      </c>
      <c r="D139" s="14">
        <v>0</v>
      </c>
      <c r="E139" s="14">
        <v>0</v>
      </c>
      <c r="F139" s="14"/>
      <c r="G139" s="14">
        <f t="shared" si="3"/>
        <v>15000</v>
      </c>
    </row>
    <row r="140" spans="1:7" x14ac:dyDescent="0.25">
      <c r="A140" s="1">
        <v>30</v>
      </c>
      <c r="B140" s="1" t="s">
        <v>197</v>
      </c>
      <c r="C140" s="14">
        <v>550000</v>
      </c>
      <c r="D140" s="14">
        <v>0</v>
      </c>
      <c r="E140" s="14">
        <v>0</v>
      </c>
      <c r="F140" s="14"/>
      <c r="G140" s="14">
        <f t="shared" si="3"/>
        <v>550000</v>
      </c>
    </row>
    <row r="141" spans="1:7" x14ac:dyDescent="0.25">
      <c r="A141" s="38">
        <v>31</v>
      </c>
      <c r="B141" s="1" t="s">
        <v>198</v>
      </c>
      <c r="C141" s="14">
        <v>420000</v>
      </c>
      <c r="D141" s="14">
        <v>0</v>
      </c>
      <c r="E141" s="14"/>
      <c r="F141" s="14"/>
      <c r="G141" s="14">
        <f t="shared" si="3"/>
        <v>420000</v>
      </c>
    </row>
    <row r="142" spans="1:7" x14ac:dyDescent="0.25">
      <c r="A142" s="38">
        <v>32</v>
      </c>
      <c r="B142" s="1" t="s">
        <v>238</v>
      </c>
      <c r="C142" s="14">
        <v>100000</v>
      </c>
      <c r="D142" s="14">
        <v>0</v>
      </c>
      <c r="E142" s="14">
        <v>50000</v>
      </c>
      <c r="F142" s="14"/>
      <c r="G142" s="14">
        <f t="shared" si="3"/>
        <v>150000</v>
      </c>
    </row>
    <row r="143" spans="1:7" x14ac:dyDescent="0.25">
      <c r="A143" s="38">
        <v>33</v>
      </c>
      <c r="B143" s="1" t="s">
        <v>201</v>
      </c>
      <c r="C143" s="14">
        <v>500000</v>
      </c>
      <c r="D143" s="14">
        <v>0</v>
      </c>
      <c r="E143" s="14">
        <v>0</v>
      </c>
      <c r="F143" s="14"/>
      <c r="G143" s="14">
        <f t="shared" si="3"/>
        <v>500000</v>
      </c>
    </row>
    <row r="144" spans="1:7" x14ac:dyDescent="0.25">
      <c r="A144" s="38">
        <v>34</v>
      </c>
      <c r="B144" s="1" t="s">
        <v>204</v>
      </c>
      <c r="C144" s="14">
        <v>470000</v>
      </c>
      <c r="D144" s="14">
        <v>0</v>
      </c>
      <c r="E144" s="14">
        <v>0</v>
      </c>
      <c r="F144" s="14"/>
      <c r="G144" s="14">
        <f t="shared" si="3"/>
        <v>470000</v>
      </c>
    </row>
    <row r="145" spans="1:7" x14ac:dyDescent="0.25">
      <c r="A145" s="38">
        <v>35</v>
      </c>
      <c r="B145" s="1" t="s">
        <v>205</v>
      </c>
      <c r="C145" s="14">
        <v>500000</v>
      </c>
      <c r="D145" s="14">
        <v>0</v>
      </c>
      <c r="E145" s="14">
        <v>0</v>
      </c>
      <c r="F145" s="14"/>
      <c r="G145" s="14">
        <f t="shared" si="3"/>
        <v>500000</v>
      </c>
    </row>
    <row r="146" spans="1:7" x14ac:dyDescent="0.25">
      <c r="A146" s="38">
        <v>36</v>
      </c>
      <c r="B146" s="1" t="s">
        <v>208</v>
      </c>
      <c r="C146" s="14">
        <v>458000</v>
      </c>
      <c r="D146" s="14">
        <v>42000</v>
      </c>
      <c r="E146" s="14">
        <v>20000</v>
      </c>
      <c r="F146" s="14">
        <v>30000</v>
      </c>
      <c r="G146" s="14">
        <f t="shared" si="3"/>
        <v>550000</v>
      </c>
    </row>
    <row r="147" spans="1:7" x14ac:dyDescent="0.25">
      <c r="A147" s="38">
        <v>37</v>
      </c>
      <c r="B147" s="1" t="s">
        <v>230</v>
      </c>
      <c r="C147" s="14">
        <v>500000</v>
      </c>
      <c r="D147" s="14">
        <v>0</v>
      </c>
      <c r="E147" s="14">
        <v>0</v>
      </c>
      <c r="F147" s="14"/>
      <c r="G147" s="14">
        <f t="shared" si="3"/>
        <v>500000</v>
      </c>
    </row>
    <row r="148" spans="1:7" x14ac:dyDescent="0.25">
      <c r="A148" s="38">
        <v>38</v>
      </c>
      <c r="B148" s="38" t="s">
        <v>236</v>
      </c>
      <c r="C148" s="27">
        <v>0</v>
      </c>
      <c r="D148" s="1">
        <v>400000</v>
      </c>
      <c r="E148" s="14">
        <v>0</v>
      </c>
      <c r="F148" s="14"/>
      <c r="G148" s="14">
        <f t="shared" si="3"/>
        <v>400000</v>
      </c>
    </row>
    <row r="149" spans="1:7" x14ac:dyDescent="0.25">
      <c r="A149" s="38"/>
      <c r="B149" s="1"/>
      <c r="C149" s="1"/>
      <c r="D149" s="1"/>
      <c r="E149" s="1"/>
      <c r="F149" s="1"/>
      <c r="G149" s="14"/>
    </row>
    <row r="150" spans="1:7" x14ac:dyDescent="0.25">
      <c r="A150" s="38"/>
      <c r="B150" s="1"/>
      <c r="C150" s="1"/>
      <c r="D150" s="1"/>
      <c r="E150" s="1"/>
      <c r="F150" s="1"/>
      <c r="G150" s="14"/>
    </row>
    <row r="151" spans="1:7" x14ac:dyDescent="0.25">
      <c r="A151" s="1"/>
      <c r="B151" s="1"/>
      <c r="C151" s="1"/>
      <c r="D151" s="1"/>
      <c r="E151" s="1"/>
      <c r="F151" s="1"/>
      <c r="G151" s="14"/>
    </row>
    <row r="152" spans="1:7" x14ac:dyDescent="0.25">
      <c r="A152" s="38"/>
      <c r="B152" s="1"/>
      <c r="C152" s="14"/>
      <c r="D152" s="14">
        <v>0</v>
      </c>
      <c r="E152" s="14">
        <v>0</v>
      </c>
      <c r="F152" s="14"/>
      <c r="G152" s="14">
        <f t="shared" ref="G152:G154" si="4">SUM(C152:F152)</f>
        <v>0</v>
      </c>
    </row>
    <row r="153" spans="1:7" x14ac:dyDescent="0.25">
      <c r="A153" s="38"/>
      <c r="B153" s="1"/>
      <c r="C153" s="14"/>
      <c r="D153" s="14">
        <v>0</v>
      </c>
      <c r="E153" s="14">
        <v>0</v>
      </c>
      <c r="F153" s="14"/>
      <c r="G153" s="14">
        <f t="shared" si="4"/>
        <v>0</v>
      </c>
    </row>
    <row r="154" spans="1:7" x14ac:dyDescent="0.25">
      <c r="A154" s="38"/>
      <c r="B154" s="38"/>
      <c r="C154" s="27"/>
      <c r="D154" s="1"/>
      <c r="E154" s="27">
        <v>0</v>
      </c>
      <c r="F154" s="1"/>
      <c r="G154" s="27">
        <f t="shared" si="4"/>
        <v>0</v>
      </c>
    </row>
    <row r="155" spans="1:7" x14ac:dyDescent="0.25">
      <c r="A155" s="1"/>
      <c r="B155" s="58" t="s">
        <v>138</v>
      </c>
      <c r="C155" s="15">
        <f>SUM(C111:C154)</f>
        <v>17382400</v>
      </c>
      <c r="D155" s="15">
        <f>SUM(D111:D154)</f>
        <v>968000</v>
      </c>
      <c r="E155" s="15">
        <f>SUM(E111:E154)</f>
        <v>490000</v>
      </c>
      <c r="F155" s="15">
        <f>SUM(F111:F154)</f>
        <v>185000</v>
      </c>
      <c r="G155" s="15">
        <f>SUM(G111:G154)</f>
        <v>19025400</v>
      </c>
    </row>
    <row r="162" spans="1:7" ht="18.75" x14ac:dyDescent="0.3">
      <c r="B162" s="5" t="s">
        <v>80</v>
      </c>
    </row>
    <row r="163" spans="1:7" ht="18.75" x14ac:dyDescent="0.3">
      <c r="B163" s="5" t="s">
        <v>64</v>
      </c>
    </row>
    <row r="164" spans="1:7" ht="18.75" x14ac:dyDescent="0.3">
      <c r="B164" s="5" t="s">
        <v>242</v>
      </c>
    </row>
    <row r="165" spans="1:7" ht="18.75" x14ac:dyDescent="0.3">
      <c r="B165" s="5" t="s">
        <v>274</v>
      </c>
    </row>
    <row r="166" spans="1:7" ht="18.75" x14ac:dyDescent="0.3">
      <c r="B166" s="5"/>
    </row>
    <row r="167" spans="1:7" x14ac:dyDescent="0.25">
      <c r="A167" s="3" t="s">
        <v>163</v>
      </c>
      <c r="B167" s="3" t="s">
        <v>164</v>
      </c>
      <c r="C167" s="59" t="s">
        <v>270</v>
      </c>
      <c r="D167" s="53">
        <v>42552</v>
      </c>
      <c r="E167" s="53">
        <v>42583</v>
      </c>
      <c r="F167" s="53">
        <v>42614</v>
      </c>
      <c r="G167" s="3" t="s">
        <v>166</v>
      </c>
    </row>
    <row r="168" spans="1:7" x14ac:dyDescent="0.25">
      <c r="A168" s="38">
        <v>1</v>
      </c>
      <c r="B168" s="1" t="s">
        <v>199</v>
      </c>
      <c r="C168" s="14">
        <v>150000</v>
      </c>
      <c r="D168" s="1"/>
      <c r="E168" s="1"/>
      <c r="F168" s="1"/>
      <c r="G168" s="70">
        <f>SUM(C168:F168)</f>
        <v>150000</v>
      </c>
    </row>
    <row r="169" spans="1:7" x14ac:dyDescent="0.25">
      <c r="A169" s="38"/>
      <c r="B169" s="1" t="s">
        <v>202</v>
      </c>
      <c r="C169" s="14">
        <v>90000</v>
      </c>
      <c r="D169" s="1"/>
      <c r="E169" s="1"/>
      <c r="F169" s="1"/>
      <c r="G169" s="70">
        <f t="shared" ref="G169:G173" si="5">SUM(C169:F169)</f>
        <v>90000</v>
      </c>
    </row>
    <row r="170" spans="1:7" x14ac:dyDescent="0.25">
      <c r="A170" s="38">
        <v>2</v>
      </c>
      <c r="B170" s="1" t="s">
        <v>223</v>
      </c>
      <c r="C170" s="14">
        <v>102000</v>
      </c>
      <c r="D170" s="1"/>
      <c r="E170" s="1"/>
      <c r="F170" s="1"/>
      <c r="G170" s="70">
        <f t="shared" si="5"/>
        <v>102000</v>
      </c>
    </row>
    <row r="171" spans="1:7" x14ac:dyDescent="0.25">
      <c r="A171" s="38">
        <v>3</v>
      </c>
      <c r="B171" s="1" t="s">
        <v>222</v>
      </c>
      <c r="C171" s="14">
        <v>350000</v>
      </c>
      <c r="D171" s="1"/>
      <c r="E171" s="1"/>
      <c r="F171" s="1"/>
      <c r="G171" s="70">
        <f t="shared" si="5"/>
        <v>350000</v>
      </c>
    </row>
    <row r="172" spans="1:7" x14ac:dyDescent="0.25">
      <c r="A172" s="38">
        <v>4</v>
      </c>
      <c r="B172" s="1" t="s">
        <v>231</v>
      </c>
      <c r="C172" s="14">
        <v>330000</v>
      </c>
      <c r="D172" s="1"/>
      <c r="E172" s="1"/>
      <c r="F172" s="1"/>
      <c r="G172" s="70">
        <f t="shared" si="5"/>
        <v>330000</v>
      </c>
    </row>
    <row r="173" spans="1:7" x14ac:dyDescent="0.25">
      <c r="A173" s="38">
        <v>5</v>
      </c>
      <c r="B173" s="38" t="s">
        <v>241</v>
      </c>
      <c r="C173" s="27">
        <v>200000</v>
      </c>
      <c r="D173" s="1">
        <v>400000</v>
      </c>
      <c r="E173" s="1">
        <v>0</v>
      </c>
      <c r="F173" s="1">
        <v>0</v>
      </c>
      <c r="G173" s="72">
        <f t="shared" si="5"/>
        <v>600000</v>
      </c>
    </row>
    <row r="174" spans="1:7" x14ac:dyDescent="0.25">
      <c r="A174" s="1"/>
      <c r="B174" s="71" t="s">
        <v>138</v>
      </c>
      <c r="C174" s="15">
        <f>SUM(C168:C173)</f>
        <v>1222000</v>
      </c>
      <c r="D174" s="15">
        <f>SUM(D168:D173)</f>
        <v>400000</v>
      </c>
      <c r="E174" s="15">
        <f>SUM(E168:E173)</f>
        <v>0</v>
      </c>
      <c r="F174" s="15">
        <f>SUM(F168:F173)</f>
        <v>0</v>
      </c>
      <c r="G174" s="15">
        <f>SUM(G168:G173)</f>
        <v>1622000</v>
      </c>
    </row>
    <row r="208" spans="2:2" ht="18.75" x14ac:dyDescent="0.3">
      <c r="B208" s="5" t="s">
        <v>80</v>
      </c>
    </row>
    <row r="209" spans="1:7" ht="18.75" x14ac:dyDescent="0.3">
      <c r="B209" s="5" t="s">
        <v>64</v>
      </c>
    </row>
    <row r="210" spans="1:7" ht="18.75" x14ac:dyDescent="0.3">
      <c r="B210" s="5" t="s">
        <v>256</v>
      </c>
    </row>
    <row r="211" spans="1:7" ht="18.75" x14ac:dyDescent="0.3">
      <c r="B211" s="5" t="s">
        <v>240</v>
      </c>
    </row>
    <row r="212" spans="1:7" x14ac:dyDescent="0.25">
      <c r="A212" s="3" t="s">
        <v>163</v>
      </c>
      <c r="B212" s="3" t="s">
        <v>164</v>
      </c>
      <c r="C212" s="59" t="s">
        <v>257</v>
      </c>
      <c r="D212" s="53" t="s">
        <v>258</v>
      </c>
      <c r="E212" s="53" t="s">
        <v>259</v>
      </c>
      <c r="F212" s="53" t="s">
        <v>261</v>
      </c>
      <c r="G212" s="3" t="s">
        <v>262</v>
      </c>
    </row>
    <row r="213" spans="1:7" x14ac:dyDescent="0.25">
      <c r="A213" s="1">
        <v>1</v>
      </c>
      <c r="B213" s="1" t="s">
        <v>268</v>
      </c>
      <c r="C213" s="27">
        <v>227316</v>
      </c>
      <c r="D213" s="14">
        <v>200000</v>
      </c>
      <c r="E213" s="14">
        <f>C213-D213</f>
        <v>27316</v>
      </c>
      <c r="F213" s="14">
        <v>10000</v>
      </c>
      <c r="G213" s="14"/>
    </row>
    <row r="214" spans="1:7" x14ac:dyDescent="0.25">
      <c r="A214" s="1">
        <v>2</v>
      </c>
      <c r="B214" s="1" t="s">
        <v>168</v>
      </c>
      <c r="C214" s="27">
        <v>232311</v>
      </c>
      <c r="D214" s="14">
        <v>200000</v>
      </c>
      <c r="E214" s="14">
        <f t="shared" ref="E214:E245" si="6">C214-D214</f>
        <v>32311</v>
      </c>
      <c r="F214" s="14">
        <v>10000</v>
      </c>
      <c r="G214" s="14"/>
    </row>
    <row r="215" spans="1:7" x14ac:dyDescent="0.25">
      <c r="A215" s="1">
        <v>3</v>
      </c>
      <c r="B215" s="1" t="s">
        <v>169</v>
      </c>
      <c r="C215" s="27">
        <v>230316</v>
      </c>
      <c r="D215" s="14">
        <v>200000</v>
      </c>
      <c r="E215" s="14">
        <f t="shared" si="6"/>
        <v>30316</v>
      </c>
      <c r="F215" s="14">
        <v>10000</v>
      </c>
      <c r="G215" s="14"/>
    </row>
    <row r="216" spans="1:7" x14ac:dyDescent="0.25">
      <c r="A216" s="1">
        <v>4</v>
      </c>
      <c r="B216" s="1" t="s">
        <v>170</v>
      </c>
      <c r="C216" s="27">
        <v>232316</v>
      </c>
      <c r="D216" s="14">
        <v>200000</v>
      </c>
      <c r="E216" s="14">
        <f t="shared" si="6"/>
        <v>32316</v>
      </c>
      <c r="F216" s="14">
        <v>10000</v>
      </c>
      <c r="G216" s="14"/>
    </row>
    <row r="217" spans="1:7" x14ac:dyDescent="0.25">
      <c r="A217" s="1">
        <v>5</v>
      </c>
      <c r="B217" s="1" t="s">
        <v>171</v>
      </c>
      <c r="C217" s="27">
        <v>100316</v>
      </c>
      <c r="D217" s="14">
        <v>100000</v>
      </c>
      <c r="E217" s="14">
        <f t="shared" si="6"/>
        <v>316</v>
      </c>
      <c r="F217" s="14">
        <v>10000</v>
      </c>
      <c r="G217" s="14"/>
    </row>
    <row r="218" spans="1:7" x14ac:dyDescent="0.25">
      <c r="A218" s="1">
        <v>6</v>
      </c>
      <c r="B218" s="1" t="s">
        <v>174</v>
      </c>
      <c r="C218" s="27">
        <v>236296</v>
      </c>
      <c r="D218" s="14">
        <v>200000</v>
      </c>
      <c r="E218" s="14">
        <f t="shared" si="6"/>
        <v>36296</v>
      </c>
      <c r="F218" s="14">
        <v>10000</v>
      </c>
      <c r="G218" s="14"/>
    </row>
    <row r="219" spans="1:7" x14ac:dyDescent="0.25">
      <c r="A219" s="1">
        <v>7</v>
      </c>
      <c r="B219" s="1" t="s">
        <v>172</v>
      </c>
      <c r="C219" s="27">
        <v>237316</v>
      </c>
      <c r="D219" s="14">
        <v>200000</v>
      </c>
      <c r="E219" s="14">
        <f t="shared" si="6"/>
        <v>37316</v>
      </c>
      <c r="F219" s="14">
        <v>10000</v>
      </c>
      <c r="G219" s="14"/>
    </row>
    <row r="220" spans="1:7" x14ac:dyDescent="0.25">
      <c r="A220" s="1">
        <v>8</v>
      </c>
      <c r="B220" s="1" t="s">
        <v>173</v>
      </c>
      <c r="C220" s="27">
        <v>232316</v>
      </c>
      <c r="D220" s="14">
        <v>200000</v>
      </c>
      <c r="E220" s="14">
        <f t="shared" si="6"/>
        <v>32316</v>
      </c>
      <c r="F220" s="14">
        <v>10000</v>
      </c>
      <c r="G220" s="14"/>
    </row>
    <row r="221" spans="1:7" x14ac:dyDescent="0.25">
      <c r="A221" s="1">
        <v>9</v>
      </c>
      <c r="B221" s="1" t="s">
        <v>175</v>
      </c>
      <c r="C221" s="27">
        <v>232316</v>
      </c>
      <c r="D221" s="14">
        <v>200000</v>
      </c>
      <c r="E221" s="14">
        <f t="shared" si="6"/>
        <v>32316</v>
      </c>
      <c r="F221" s="14">
        <v>10000</v>
      </c>
      <c r="G221" s="14"/>
    </row>
    <row r="222" spans="1:7" x14ac:dyDescent="0.25">
      <c r="A222" s="1">
        <v>10</v>
      </c>
      <c r="B222" s="1" t="s">
        <v>176</v>
      </c>
      <c r="C222" s="27">
        <v>233964</v>
      </c>
      <c r="D222" s="14">
        <v>200000</v>
      </c>
      <c r="E222" s="14">
        <f t="shared" si="6"/>
        <v>33964</v>
      </c>
      <c r="F222" s="14">
        <v>10000</v>
      </c>
      <c r="G222" s="14"/>
    </row>
    <row r="223" spans="1:7" x14ac:dyDescent="0.25">
      <c r="A223" s="1">
        <v>11</v>
      </c>
      <c r="B223" s="1" t="s">
        <v>177</v>
      </c>
      <c r="C223" s="27">
        <v>232316</v>
      </c>
      <c r="D223" s="14">
        <v>200000</v>
      </c>
      <c r="E223" s="14">
        <f t="shared" si="6"/>
        <v>32316</v>
      </c>
      <c r="F223" s="14">
        <v>10000</v>
      </c>
      <c r="G223" s="14"/>
    </row>
    <row r="224" spans="1:7" x14ac:dyDescent="0.25">
      <c r="A224" s="1">
        <v>12</v>
      </c>
      <c r="B224" s="1" t="s">
        <v>178</v>
      </c>
      <c r="C224" s="27">
        <v>237316</v>
      </c>
      <c r="D224" s="14">
        <v>200000</v>
      </c>
      <c r="E224" s="14">
        <f t="shared" si="6"/>
        <v>37316</v>
      </c>
      <c r="F224" s="14">
        <v>10000</v>
      </c>
      <c r="G224" s="14"/>
    </row>
    <row r="225" spans="1:7" x14ac:dyDescent="0.25">
      <c r="A225" s="1">
        <v>13</v>
      </c>
      <c r="B225" s="1" t="s">
        <v>179</v>
      </c>
      <c r="C225" s="27">
        <v>237316</v>
      </c>
      <c r="D225" s="14">
        <v>200000</v>
      </c>
      <c r="E225" s="14">
        <f t="shared" si="6"/>
        <v>37316</v>
      </c>
      <c r="F225" s="14">
        <v>10000</v>
      </c>
      <c r="G225" s="14"/>
    </row>
    <row r="226" spans="1:7" x14ac:dyDescent="0.25">
      <c r="A226" s="1">
        <v>14</v>
      </c>
      <c r="B226" s="1" t="s">
        <v>180</v>
      </c>
      <c r="C226" s="27">
        <v>237316</v>
      </c>
      <c r="D226" s="14">
        <v>200000</v>
      </c>
      <c r="E226" s="14">
        <f t="shared" si="6"/>
        <v>37316</v>
      </c>
      <c r="F226" s="14">
        <v>10000</v>
      </c>
      <c r="G226" s="14"/>
    </row>
    <row r="227" spans="1:7" x14ac:dyDescent="0.25">
      <c r="A227" s="1">
        <v>15</v>
      </c>
      <c r="B227" s="1" t="s">
        <v>181</v>
      </c>
      <c r="C227" s="27">
        <v>237316</v>
      </c>
      <c r="D227" s="14">
        <v>200000</v>
      </c>
      <c r="E227" s="14">
        <f t="shared" si="6"/>
        <v>37316</v>
      </c>
      <c r="F227" s="14">
        <v>10000</v>
      </c>
      <c r="G227" s="14"/>
    </row>
    <row r="228" spans="1:7" x14ac:dyDescent="0.25">
      <c r="A228" s="1">
        <v>16</v>
      </c>
      <c r="B228" s="1" t="s">
        <v>182</v>
      </c>
      <c r="C228" s="27">
        <v>225316</v>
      </c>
      <c r="D228" s="14">
        <v>200000</v>
      </c>
      <c r="E228" s="14">
        <f t="shared" si="6"/>
        <v>25316</v>
      </c>
      <c r="F228" s="14">
        <v>10000</v>
      </c>
      <c r="G228" s="14"/>
    </row>
    <row r="229" spans="1:7" x14ac:dyDescent="0.25">
      <c r="A229" s="1">
        <v>17</v>
      </c>
      <c r="B229" s="1" t="s">
        <v>183</v>
      </c>
      <c r="C229" s="27">
        <v>237316</v>
      </c>
      <c r="D229" s="14">
        <v>200000</v>
      </c>
      <c r="E229" s="14">
        <f t="shared" si="6"/>
        <v>37316</v>
      </c>
      <c r="F229" s="14">
        <v>10000</v>
      </c>
      <c r="G229" s="14"/>
    </row>
    <row r="230" spans="1:7" x14ac:dyDescent="0.25">
      <c r="A230" s="1">
        <v>18</v>
      </c>
      <c r="B230" s="1" t="s">
        <v>184</v>
      </c>
      <c r="C230" s="27">
        <v>223301</v>
      </c>
      <c r="D230" s="14">
        <v>200000</v>
      </c>
      <c r="E230" s="14">
        <f t="shared" si="6"/>
        <v>23301</v>
      </c>
      <c r="F230" s="14">
        <v>10000</v>
      </c>
      <c r="G230" s="14"/>
    </row>
    <row r="231" spans="1:7" x14ac:dyDescent="0.25">
      <c r="A231" s="1">
        <v>19</v>
      </c>
      <c r="B231" s="1" t="s">
        <v>185</v>
      </c>
      <c r="C231" s="27">
        <v>227102</v>
      </c>
      <c r="D231" s="14">
        <v>200000</v>
      </c>
      <c r="E231" s="14">
        <f t="shared" si="6"/>
        <v>27102</v>
      </c>
      <c r="F231" s="14">
        <v>10000</v>
      </c>
      <c r="G231" s="14"/>
    </row>
    <row r="232" spans="1:7" x14ac:dyDescent="0.25">
      <c r="A232" s="1">
        <v>20</v>
      </c>
      <c r="B232" s="1" t="s">
        <v>186</v>
      </c>
      <c r="C232" s="27">
        <v>194351</v>
      </c>
      <c r="D232" s="14">
        <v>175000</v>
      </c>
      <c r="E232" s="14">
        <f t="shared" si="6"/>
        <v>19351</v>
      </c>
      <c r="F232" s="14">
        <v>10000</v>
      </c>
      <c r="G232" s="14"/>
    </row>
    <row r="233" spans="1:7" x14ac:dyDescent="0.25">
      <c r="A233" s="1">
        <v>21</v>
      </c>
      <c r="B233" s="1" t="s">
        <v>187</v>
      </c>
      <c r="C233" s="27">
        <v>182352</v>
      </c>
      <c r="D233" s="14">
        <v>175000</v>
      </c>
      <c r="E233" s="14">
        <f t="shared" si="6"/>
        <v>7352</v>
      </c>
      <c r="F233" s="14">
        <v>10000</v>
      </c>
      <c r="G233" s="14"/>
    </row>
    <row r="234" spans="1:7" x14ac:dyDescent="0.25">
      <c r="A234" s="1">
        <v>22</v>
      </c>
      <c r="B234" s="1" t="s">
        <v>188</v>
      </c>
      <c r="C234" s="27">
        <v>232316</v>
      </c>
      <c r="D234" s="14">
        <v>200000</v>
      </c>
      <c r="E234" s="14">
        <f t="shared" si="6"/>
        <v>32316</v>
      </c>
      <c r="F234" s="14">
        <v>10000</v>
      </c>
      <c r="G234" s="14"/>
    </row>
    <row r="235" spans="1:7" x14ac:dyDescent="0.25">
      <c r="A235" s="1">
        <v>23</v>
      </c>
      <c r="B235" s="1" t="s">
        <v>189</v>
      </c>
      <c r="C235" s="27">
        <v>236316</v>
      </c>
      <c r="D235" s="14">
        <v>200000</v>
      </c>
      <c r="E235" s="14">
        <f t="shared" si="6"/>
        <v>36316</v>
      </c>
      <c r="F235" s="14">
        <v>10000</v>
      </c>
      <c r="G235" s="14"/>
    </row>
    <row r="236" spans="1:7" x14ac:dyDescent="0.25">
      <c r="A236" s="1">
        <v>24</v>
      </c>
      <c r="B236" s="1" t="s">
        <v>190</v>
      </c>
      <c r="C236" s="27">
        <v>237316</v>
      </c>
      <c r="D236" s="14">
        <v>200000</v>
      </c>
      <c r="E236" s="14">
        <f t="shared" si="6"/>
        <v>37316</v>
      </c>
      <c r="F236" s="14">
        <v>10000</v>
      </c>
      <c r="G236" s="14"/>
    </row>
    <row r="237" spans="1:7" x14ac:dyDescent="0.25">
      <c r="A237" s="1">
        <v>25</v>
      </c>
      <c r="B237" s="1" t="s">
        <v>191</v>
      </c>
      <c r="C237" s="27">
        <v>212555</v>
      </c>
      <c r="D237" s="14">
        <v>200000</v>
      </c>
      <c r="E237" s="14">
        <f t="shared" si="6"/>
        <v>12555</v>
      </c>
      <c r="F237" s="14">
        <v>10000</v>
      </c>
      <c r="G237" s="14"/>
    </row>
    <row r="238" spans="1:7" x14ac:dyDescent="0.25">
      <c r="A238" s="1">
        <v>26</v>
      </c>
      <c r="B238" s="1" t="s">
        <v>192</v>
      </c>
      <c r="C238" s="27">
        <v>239316</v>
      </c>
      <c r="D238" s="14">
        <v>200000</v>
      </c>
      <c r="E238" s="14">
        <f t="shared" si="6"/>
        <v>39316</v>
      </c>
      <c r="F238" s="14">
        <v>10000</v>
      </c>
      <c r="G238" s="14"/>
    </row>
    <row r="239" spans="1:7" x14ac:dyDescent="0.25">
      <c r="A239" s="1">
        <v>27</v>
      </c>
      <c r="B239" s="1" t="s">
        <v>196</v>
      </c>
      <c r="C239" s="27">
        <v>210479</v>
      </c>
      <c r="D239" s="14">
        <v>200000</v>
      </c>
      <c r="E239" s="14">
        <f t="shared" si="6"/>
        <v>10479</v>
      </c>
      <c r="F239" s="14">
        <v>10000</v>
      </c>
      <c r="G239" s="14"/>
    </row>
    <row r="240" spans="1:7" x14ac:dyDescent="0.25">
      <c r="A240" s="1">
        <v>28</v>
      </c>
      <c r="B240" s="1" t="s">
        <v>197</v>
      </c>
      <c r="C240" s="27">
        <v>237316</v>
      </c>
      <c r="D240" s="14">
        <v>200000</v>
      </c>
      <c r="E240" s="14">
        <f t="shared" si="6"/>
        <v>37316</v>
      </c>
      <c r="F240" s="14">
        <v>10000</v>
      </c>
      <c r="G240" s="14"/>
    </row>
    <row r="241" spans="1:7" x14ac:dyDescent="0.25">
      <c r="A241" s="1">
        <v>29</v>
      </c>
      <c r="B241" s="1" t="s">
        <v>198</v>
      </c>
      <c r="C241" s="27">
        <v>237316</v>
      </c>
      <c r="D241" s="14">
        <v>200000</v>
      </c>
      <c r="E241" s="14">
        <f t="shared" si="6"/>
        <v>37316</v>
      </c>
      <c r="F241" s="14">
        <v>10000</v>
      </c>
      <c r="G241" s="14"/>
    </row>
    <row r="242" spans="1:7" x14ac:dyDescent="0.25">
      <c r="A242" s="1">
        <v>30</v>
      </c>
      <c r="B242" s="1" t="s">
        <v>208</v>
      </c>
      <c r="C242" s="14">
        <v>237000</v>
      </c>
      <c r="D242" s="14">
        <v>200000</v>
      </c>
      <c r="E242" s="14">
        <f t="shared" si="6"/>
        <v>37000</v>
      </c>
      <c r="F242" s="14">
        <v>10000</v>
      </c>
      <c r="G242" s="14"/>
    </row>
    <row r="243" spans="1:7" x14ac:dyDescent="0.25">
      <c r="A243" s="38">
        <v>31</v>
      </c>
      <c r="B243" s="38" t="s">
        <v>236</v>
      </c>
      <c r="C243" s="14">
        <v>218927</v>
      </c>
      <c r="D243" s="14">
        <v>200000</v>
      </c>
      <c r="E243" s="14">
        <f t="shared" si="6"/>
        <v>18927</v>
      </c>
      <c r="F243" s="14">
        <v>10000</v>
      </c>
      <c r="G243" s="14"/>
    </row>
    <row r="244" spans="1:7" x14ac:dyDescent="0.25">
      <c r="A244" s="38">
        <v>32</v>
      </c>
      <c r="B244" s="1" t="s">
        <v>260</v>
      </c>
      <c r="C244" s="14">
        <v>237316</v>
      </c>
      <c r="D244" s="14">
        <v>200000</v>
      </c>
      <c r="E244" s="14">
        <f t="shared" si="6"/>
        <v>37316</v>
      </c>
      <c r="F244" s="14">
        <v>10000</v>
      </c>
      <c r="G244" s="14"/>
    </row>
    <row r="245" spans="1:7" x14ac:dyDescent="0.25">
      <c r="A245" s="38">
        <v>33</v>
      </c>
      <c r="B245" s="1" t="s">
        <v>263</v>
      </c>
      <c r="C245" s="14">
        <v>215316</v>
      </c>
      <c r="D245" s="14">
        <v>200000</v>
      </c>
      <c r="E245" s="14">
        <f t="shared" si="6"/>
        <v>15316</v>
      </c>
      <c r="F245" s="14">
        <v>10000</v>
      </c>
      <c r="G245" s="14"/>
    </row>
    <row r="246" spans="1:7" x14ac:dyDescent="0.25">
      <c r="A246" s="38">
        <v>34</v>
      </c>
      <c r="B246" s="1" t="s">
        <v>264</v>
      </c>
      <c r="C246" s="14">
        <v>234828</v>
      </c>
      <c r="D246" s="14">
        <v>200000</v>
      </c>
      <c r="E246" s="14">
        <f t="shared" ref="E246:E249" si="7">C246-D246</f>
        <v>34828</v>
      </c>
      <c r="F246" s="14">
        <v>10000</v>
      </c>
      <c r="G246" s="14"/>
    </row>
    <row r="247" spans="1:7" x14ac:dyDescent="0.25">
      <c r="A247" s="38">
        <v>35</v>
      </c>
      <c r="B247" s="1" t="s">
        <v>265</v>
      </c>
      <c r="C247" s="14">
        <v>223928</v>
      </c>
      <c r="D247" s="14">
        <v>200000</v>
      </c>
      <c r="E247" s="14">
        <f t="shared" si="7"/>
        <v>23928</v>
      </c>
      <c r="F247" s="14">
        <v>10000</v>
      </c>
      <c r="G247" s="14"/>
    </row>
    <row r="248" spans="1:7" x14ac:dyDescent="0.25">
      <c r="A248" s="38">
        <v>36</v>
      </c>
      <c r="B248" s="1" t="s">
        <v>266</v>
      </c>
      <c r="C248" s="14">
        <v>237316</v>
      </c>
      <c r="D248" s="14">
        <v>200000</v>
      </c>
      <c r="E248" s="14">
        <f t="shared" si="7"/>
        <v>37316</v>
      </c>
      <c r="F248" s="14">
        <v>10000</v>
      </c>
      <c r="G248" s="14"/>
    </row>
    <row r="249" spans="1:7" x14ac:dyDescent="0.25">
      <c r="A249" s="38">
        <v>37</v>
      </c>
      <c r="B249" s="1" t="s">
        <v>269</v>
      </c>
      <c r="C249" s="14">
        <v>207693</v>
      </c>
      <c r="D249" s="14">
        <v>200000</v>
      </c>
      <c r="E249" s="14">
        <f t="shared" si="7"/>
        <v>7693</v>
      </c>
      <c r="F249" s="14">
        <v>10000</v>
      </c>
      <c r="G249" s="14"/>
    </row>
    <row r="250" spans="1:7" x14ac:dyDescent="0.25">
      <c r="A250" s="38">
        <v>38</v>
      </c>
      <c r="B250" s="1" t="s">
        <v>205</v>
      </c>
      <c r="C250" s="14"/>
      <c r="D250" s="14">
        <v>200000</v>
      </c>
      <c r="E250" s="14"/>
      <c r="F250" s="14"/>
      <c r="G250" s="14"/>
    </row>
    <row r="251" spans="1:7" x14ac:dyDescent="0.25">
      <c r="A251" s="38">
        <v>39</v>
      </c>
      <c r="B251" s="1" t="s">
        <v>230</v>
      </c>
      <c r="C251" s="14"/>
      <c r="D251" s="14">
        <v>200000</v>
      </c>
      <c r="E251" s="14"/>
      <c r="F251" s="14"/>
      <c r="G251" s="14"/>
    </row>
    <row r="252" spans="1:7" x14ac:dyDescent="0.25">
      <c r="A252" s="38">
        <v>40</v>
      </c>
      <c r="B252" s="1" t="s">
        <v>204</v>
      </c>
      <c r="C252" s="14"/>
      <c r="D252" s="14">
        <v>200000</v>
      </c>
      <c r="E252" s="14"/>
      <c r="F252" s="14"/>
      <c r="G252" s="14"/>
    </row>
    <row r="253" spans="1:7" x14ac:dyDescent="0.25">
      <c r="A253" s="38"/>
      <c r="B253" s="75" t="s">
        <v>267</v>
      </c>
      <c r="C253" s="14"/>
      <c r="D253" s="14">
        <v>150000</v>
      </c>
      <c r="E253" s="14"/>
      <c r="F253" s="14"/>
      <c r="G253" s="14"/>
    </row>
    <row r="254" spans="1:7" x14ac:dyDescent="0.25">
      <c r="A254" s="38"/>
      <c r="B254" s="1"/>
      <c r="C254" s="27"/>
      <c r="D254" s="14"/>
      <c r="E254" s="14"/>
      <c r="F254" s="14"/>
      <c r="G254" s="14"/>
    </row>
    <row r="255" spans="1:7" x14ac:dyDescent="0.25">
      <c r="A255" s="38">
        <v>1</v>
      </c>
      <c r="B255" s="1" t="s">
        <v>193</v>
      </c>
      <c r="C255" s="1"/>
      <c r="D255" s="1"/>
      <c r="E255" s="1"/>
      <c r="F255" s="1"/>
      <c r="G255" s="14"/>
    </row>
    <row r="256" spans="1:7" x14ac:dyDescent="0.25">
      <c r="A256" s="38">
        <v>2</v>
      </c>
      <c r="B256" s="1" t="s">
        <v>195</v>
      </c>
      <c r="C256" s="1"/>
      <c r="D256" s="1"/>
      <c r="E256" s="1"/>
      <c r="F256" s="1"/>
      <c r="G256" s="14"/>
    </row>
    <row r="257" spans="1:7" x14ac:dyDescent="0.25">
      <c r="A257" s="38"/>
      <c r="B257" s="38"/>
      <c r="C257" s="27"/>
      <c r="D257" s="1"/>
      <c r="E257" s="27"/>
      <c r="F257" s="1"/>
      <c r="G257" s="27"/>
    </row>
    <row r="258" spans="1:7" x14ac:dyDescent="0.25">
      <c r="A258" s="1"/>
      <c r="B258" s="58" t="s">
        <v>138</v>
      </c>
      <c r="C258" s="15">
        <f>SUM(C213:C257)</f>
        <v>8321355</v>
      </c>
      <c r="D258" s="15">
        <f>SUM(D213:D257)</f>
        <v>8000000</v>
      </c>
      <c r="E258" s="15">
        <f>SUM(E213:E257)</f>
        <v>1071355</v>
      </c>
      <c r="F258" s="15">
        <f>SUM(F213:F257)</f>
        <v>370000</v>
      </c>
      <c r="G258" s="15">
        <f>SUM(G213:G257)</f>
        <v>0</v>
      </c>
    </row>
    <row r="313" spans="1:7" ht="18.75" x14ac:dyDescent="0.3">
      <c r="B313" s="5" t="s">
        <v>80</v>
      </c>
    </row>
    <row r="314" spans="1:7" ht="18.75" x14ac:dyDescent="0.3">
      <c r="B314" s="5" t="s">
        <v>64</v>
      </c>
    </row>
    <row r="315" spans="1:7" ht="18.75" x14ac:dyDescent="0.3">
      <c r="B315" s="5" t="s">
        <v>162</v>
      </c>
    </row>
    <row r="316" spans="1:7" ht="18.75" x14ac:dyDescent="0.3">
      <c r="B316" s="5" t="s">
        <v>291</v>
      </c>
    </row>
    <row r="317" spans="1:7" x14ac:dyDescent="0.25">
      <c r="A317" s="3" t="s">
        <v>163</v>
      </c>
      <c r="B317" s="3" t="s">
        <v>164</v>
      </c>
      <c r="C317" s="59" t="s">
        <v>283</v>
      </c>
      <c r="D317" s="53">
        <v>42736</v>
      </c>
      <c r="E317" s="53">
        <v>42767</v>
      </c>
      <c r="F317" s="53">
        <v>42795</v>
      </c>
      <c r="G317" s="3" t="s">
        <v>166</v>
      </c>
    </row>
    <row r="318" spans="1:7" x14ac:dyDescent="0.25">
      <c r="A318" s="1">
        <v>1</v>
      </c>
      <c r="B318" s="1" t="s">
        <v>167</v>
      </c>
      <c r="C318" s="14">
        <v>480000</v>
      </c>
      <c r="D318" s="14">
        <v>0</v>
      </c>
      <c r="E318" s="14">
        <v>0</v>
      </c>
      <c r="F318" s="14"/>
      <c r="G318" s="14">
        <f>SUM(C318:F318)</f>
        <v>480000</v>
      </c>
    </row>
    <row r="319" spans="1:7" x14ac:dyDescent="0.25">
      <c r="A319" s="1">
        <v>2</v>
      </c>
      <c r="B319" s="1" t="s">
        <v>168</v>
      </c>
      <c r="C319" s="14">
        <v>495000</v>
      </c>
      <c r="D319" s="14">
        <v>0</v>
      </c>
      <c r="E319" s="14">
        <v>5000</v>
      </c>
      <c r="F319" s="14"/>
      <c r="G319" s="14">
        <f t="shared" ref="G319:G360" si="8">SUM(C319:F319)</f>
        <v>500000</v>
      </c>
    </row>
    <row r="320" spans="1:7" x14ac:dyDescent="0.25">
      <c r="A320" s="1">
        <v>3</v>
      </c>
      <c r="B320" s="1" t="s">
        <v>169</v>
      </c>
      <c r="C320" s="14">
        <v>710000</v>
      </c>
      <c r="D320" s="14">
        <v>10000</v>
      </c>
      <c r="E320" s="14">
        <v>20000</v>
      </c>
      <c r="F320" s="14">
        <v>20000</v>
      </c>
      <c r="G320" s="14">
        <f t="shared" si="8"/>
        <v>760000</v>
      </c>
    </row>
    <row r="321" spans="1:7" x14ac:dyDescent="0.25">
      <c r="A321" s="1">
        <v>4</v>
      </c>
      <c r="B321" s="1" t="s">
        <v>170</v>
      </c>
      <c r="C321" s="14">
        <v>525000</v>
      </c>
      <c r="D321" s="14">
        <v>0</v>
      </c>
      <c r="E321" s="14">
        <v>25000</v>
      </c>
      <c r="F321" s="14"/>
      <c r="G321" s="14">
        <f t="shared" si="8"/>
        <v>550000</v>
      </c>
    </row>
    <row r="322" spans="1:7" x14ac:dyDescent="0.25">
      <c r="A322" s="1">
        <v>5</v>
      </c>
      <c r="B322" s="1" t="s">
        <v>171</v>
      </c>
      <c r="C322" s="14">
        <v>502000</v>
      </c>
      <c r="D322" s="14">
        <v>0</v>
      </c>
      <c r="E322" s="14">
        <v>0</v>
      </c>
      <c r="F322" s="14"/>
      <c r="G322" s="14">
        <f t="shared" si="8"/>
        <v>502000</v>
      </c>
    </row>
    <row r="323" spans="1:7" x14ac:dyDescent="0.25">
      <c r="A323" s="1">
        <v>6</v>
      </c>
      <c r="B323" s="1" t="s">
        <v>174</v>
      </c>
      <c r="C323" s="14">
        <v>850000</v>
      </c>
      <c r="D323" s="14">
        <v>20000</v>
      </c>
      <c r="E323" s="14">
        <v>20000</v>
      </c>
      <c r="F323" s="14">
        <v>20000</v>
      </c>
      <c r="G323" s="14">
        <f t="shared" si="8"/>
        <v>910000</v>
      </c>
    </row>
    <row r="324" spans="1:7" x14ac:dyDescent="0.25">
      <c r="A324" s="1">
        <v>7</v>
      </c>
      <c r="B324" s="1" t="s">
        <v>172</v>
      </c>
      <c r="C324" s="14">
        <v>280000</v>
      </c>
      <c r="D324" s="14">
        <v>0</v>
      </c>
      <c r="E324" s="14">
        <v>0</v>
      </c>
      <c r="F324" s="14"/>
      <c r="G324" s="14">
        <f t="shared" si="8"/>
        <v>280000</v>
      </c>
    </row>
    <row r="325" spans="1:7" x14ac:dyDescent="0.25">
      <c r="A325" s="1">
        <v>8</v>
      </c>
      <c r="B325" s="1" t="s">
        <v>173</v>
      </c>
      <c r="C325" s="14">
        <v>540000</v>
      </c>
      <c r="D325" s="14">
        <v>10000</v>
      </c>
      <c r="E325" s="14">
        <v>10000</v>
      </c>
      <c r="F325" s="14"/>
      <c r="G325" s="14">
        <f t="shared" si="8"/>
        <v>560000</v>
      </c>
    </row>
    <row r="326" spans="1:7" x14ac:dyDescent="0.25">
      <c r="A326" s="1">
        <v>9</v>
      </c>
      <c r="B326" s="1" t="s">
        <v>175</v>
      </c>
      <c r="C326" s="14">
        <v>410000</v>
      </c>
      <c r="D326" s="14">
        <v>0</v>
      </c>
      <c r="E326" s="14">
        <v>0</v>
      </c>
      <c r="F326" s="14"/>
      <c r="G326" s="14">
        <f t="shared" si="8"/>
        <v>410000</v>
      </c>
    </row>
    <row r="327" spans="1:7" x14ac:dyDescent="0.25">
      <c r="A327" s="1">
        <v>10</v>
      </c>
      <c r="B327" s="1" t="s">
        <v>176</v>
      </c>
      <c r="C327" s="14">
        <v>300000</v>
      </c>
      <c r="D327" s="14">
        <v>50000</v>
      </c>
      <c r="E327" s="14">
        <v>0</v>
      </c>
      <c r="F327" s="14">
        <v>55000</v>
      </c>
      <c r="G327" s="14">
        <f t="shared" si="8"/>
        <v>405000</v>
      </c>
    </row>
    <row r="328" spans="1:7" x14ac:dyDescent="0.25">
      <c r="A328" s="1">
        <v>11</v>
      </c>
      <c r="B328" s="1" t="s">
        <v>177</v>
      </c>
      <c r="C328" s="14">
        <v>500000</v>
      </c>
      <c r="D328" s="14">
        <v>0</v>
      </c>
      <c r="E328" s="14">
        <v>20000</v>
      </c>
      <c r="F328" s="14"/>
      <c r="G328" s="14">
        <f t="shared" si="8"/>
        <v>520000</v>
      </c>
    </row>
    <row r="329" spans="1:7" x14ac:dyDescent="0.25">
      <c r="A329" s="1">
        <v>12</v>
      </c>
      <c r="B329" s="1" t="s">
        <v>178</v>
      </c>
      <c r="C329" s="14">
        <v>820000</v>
      </c>
      <c r="D329" s="14">
        <v>20000</v>
      </c>
      <c r="E329" s="14">
        <v>20000</v>
      </c>
      <c r="F329" s="14">
        <v>20000</v>
      </c>
      <c r="G329" s="14">
        <f t="shared" si="8"/>
        <v>880000</v>
      </c>
    </row>
    <row r="330" spans="1:7" x14ac:dyDescent="0.25">
      <c r="A330" s="1">
        <v>13</v>
      </c>
      <c r="B330" s="1" t="s">
        <v>179</v>
      </c>
      <c r="C330" s="14">
        <v>570000</v>
      </c>
      <c r="D330" s="14">
        <v>0</v>
      </c>
      <c r="E330" s="14">
        <v>0</v>
      </c>
      <c r="F330" s="14"/>
      <c r="G330" s="14">
        <f t="shared" si="8"/>
        <v>570000</v>
      </c>
    </row>
    <row r="331" spans="1:7" x14ac:dyDescent="0.25">
      <c r="A331" s="1">
        <v>14</v>
      </c>
      <c r="B331" s="1" t="s">
        <v>180</v>
      </c>
      <c r="C331" s="14">
        <v>800000</v>
      </c>
      <c r="D331" s="14">
        <v>0</v>
      </c>
      <c r="E331" s="14">
        <v>0</v>
      </c>
      <c r="F331" s="14">
        <v>40000</v>
      </c>
      <c r="G331" s="14">
        <f t="shared" si="8"/>
        <v>840000</v>
      </c>
    </row>
    <row r="332" spans="1:7" x14ac:dyDescent="0.25">
      <c r="A332" s="1">
        <v>15</v>
      </c>
      <c r="B332" s="1" t="s">
        <v>181</v>
      </c>
      <c r="C332" s="14">
        <v>1130000</v>
      </c>
      <c r="D332" s="14">
        <v>20000</v>
      </c>
      <c r="E332" s="14">
        <v>20000</v>
      </c>
      <c r="F332" s="14">
        <v>20000</v>
      </c>
      <c r="G332" s="14">
        <f t="shared" si="8"/>
        <v>1190000</v>
      </c>
    </row>
    <row r="333" spans="1:7" x14ac:dyDescent="0.25">
      <c r="A333" s="1">
        <v>16</v>
      </c>
      <c r="B333" s="1" t="s">
        <v>182</v>
      </c>
      <c r="C333" s="14">
        <v>320000</v>
      </c>
      <c r="D333" s="14">
        <v>15000</v>
      </c>
      <c r="E333" s="14">
        <v>0</v>
      </c>
      <c r="F333" s="14"/>
      <c r="G333" s="14">
        <f t="shared" si="8"/>
        <v>335000</v>
      </c>
    </row>
    <row r="334" spans="1:7" x14ac:dyDescent="0.25">
      <c r="A334" s="1">
        <v>17</v>
      </c>
      <c r="B334" s="1" t="s">
        <v>183</v>
      </c>
      <c r="C334" s="14">
        <v>500000</v>
      </c>
      <c r="D334" s="14">
        <v>50000</v>
      </c>
      <c r="E334" s="14">
        <v>0</v>
      </c>
      <c r="F334" s="14"/>
      <c r="G334" s="14">
        <f t="shared" si="8"/>
        <v>550000</v>
      </c>
    </row>
    <row r="335" spans="1:7" x14ac:dyDescent="0.25">
      <c r="A335" s="1">
        <v>18</v>
      </c>
      <c r="B335" s="1" t="s">
        <v>184</v>
      </c>
      <c r="C335" s="14">
        <v>716400</v>
      </c>
      <c r="D335" s="14">
        <v>0</v>
      </c>
      <c r="E335" s="14">
        <v>100000</v>
      </c>
      <c r="F335" s="14"/>
      <c r="G335" s="14">
        <f t="shared" si="8"/>
        <v>816400</v>
      </c>
    </row>
    <row r="336" spans="1:7" x14ac:dyDescent="0.25">
      <c r="A336" s="1">
        <v>19</v>
      </c>
      <c r="B336" s="1" t="s">
        <v>185</v>
      </c>
      <c r="C336" s="14">
        <v>500000</v>
      </c>
      <c r="D336" s="14">
        <v>0</v>
      </c>
      <c r="E336" s="14">
        <v>0</v>
      </c>
      <c r="F336" s="14"/>
      <c r="G336" s="14">
        <f t="shared" si="8"/>
        <v>500000</v>
      </c>
    </row>
    <row r="337" spans="1:7" x14ac:dyDescent="0.25">
      <c r="A337" s="1">
        <v>20</v>
      </c>
      <c r="B337" s="1" t="s">
        <v>186</v>
      </c>
      <c r="C337" s="14">
        <v>500000</v>
      </c>
      <c r="D337" s="14">
        <v>0</v>
      </c>
      <c r="E337" s="14">
        <v>0</v>
      </c>
      <c r="F337" s="14"/>
      <c r="G337" s="14">
        <f t="shared" si="8"/>
        <v>500000</v>
      </c>
    </row>
    <row r="338" spans="1:7" x14ac:dyDescent="0.25">
      <c r="A338" s="1">
        <v>21</v>
      </c>
      <c r="B338" s="1" t="s">
        <v>187</v>
      </c>
      <c r="C338" s="14">
        <v>500000</v>
      </c>
      <c r="D338" s="14">
        <v>0</v>
      </c>
      <c r="E338" s="14">
        <v>0</v>
      </c>
      <c r="F338" s="14"/>
      <c r="G338" s="14">
        <f t="shared" si="8"/>
        <v>500000</v>
      </c>
    </row>
    <row r="339" spans="1:7" x14ac:dyDescent="0.25">
      <c r="A339" s="1">
        <v>22</v>
      </c>
      <c r="B339" s="1" t="s">
        <v>188</v>
      </c>
      <c r="C339" s="14">
        <v>450000</v>
      </c>
      <c r="D339" s="14">
        <v>0</v>
      </c>
      <c r="E339" s="14">
        <v>0</v>
      </c>
      <c r="F339" s="14"/>
      <c r="G339" s="14">
        <f t="shared" si="8"/>
        <v>450000</v>
      </c>
    </row>
    <row r="340" spans="1:7" x14ac:dyDescent="0.25">
      <c r="A340" s="1">
        <v>23</v>
      </c>
      <c r="B340" s="1" t="s">
        <v>189</v>
      </c>
      <c r="C340" s="14">
        <v>360000</v>
      </c>
      <c r="D340" s="14">
        <v>0</v>
      </c>
      <c r="E340" s="14">
        <v>10000</v>
      </c>
      <c r="F340" s="14">
        <v>10000</v>
      </c>
      <c r="G340" s="14">
        <f t="shared" si="8"/>
        <v>380000</v>
      </c>
    </row>
    <row r="341" spans="1:7" x14ac:dyDescent="0.25">
      <c r="A341" s="1">
        <v>24</v>
      </c>
      <c r="B341" s="1" t="s">
        <v>190</v>
      </c>
      <c r="C341" s="14">
        <v>450000</v>
      </c>
      <c r="D341" s="14">
        <v>0</v>
      </c>
      <c r="E341" s="14">
        <v>50000</v>
      </c>
      <c r="F341" s="14"/>
      <c r="G341" s="14">
        <f t="shared" si="8"/>
        <v>500000</v>
      </c>
    </row>
    <row r="342" spans="1:7" x14ac:dyDescent="0.25">
      <c r="A342" s="1">
        <v>25</v>
      </c>
      <c r="B342" s="1" t="s">
        <v>191</v>
      </c>
      <c r="C342" s="14">
        <v>679000</v>
      </c>
      <c r="D342" s="14">
        <v>0</v>
      </c>
      <c r="E342" s="14">
        <v>0</v>
      </c>
      <c r="F342" s="14"/>
      <c r="G342" s="14">
        <f t="shared" si="8"/>
        <v>679000</v>
      </c>
    </row>
    <row r="343" spans="1:7" x14ac:dyDescent="0.25">
      <c r="A343" s="1">
        <v>26</v>
      </c>
      <c r="B343" s="1" t="s">
        <v>192</v>
      </c>
      <c r="C343" s="14">
        <v>320000</v>
      </c>
      <c r="D343" s="14">
        <v>30000</v>
      </c>
      <c r="E343" s="14">
        <v>30000</v>
      </c>
      <c r="F343" s="14"/>
      <c r="G343" s="14">
        <f t="shared" si="8"/>
        <v>380000</v>
      </c>
    </row>
    <row r="344" spans="1:7" x14ac:dyDescent="0.25">
      <c r="A344" s="1">
        <v>27</v>
      </c>
      <c r="B344" s="1" t="s">
        <v>193</v>
      </c>
      <c r="C344" s="14">
        <v>1280000</v>
      </c>
      <c r="D344" s="14">
        <v>0</v>
      </c>
      <c r="E344" s="14">
        <v>0</v>
      </c>
      <c r="F344" s="14">
        <v>40000</v>
      </c>
      <c r="G344" s="14">
        <f t="shared" si="8"/>
        <v>1320000</v>
      </c>
    </row>
    <row r="345" spans="1:7" x14ac:dyDescent="0.25">
      <c r="A345" s="1">
        <v>28</v>
      </c>
      <c r="B345" s="1" t="s">
        <v>195</v>
      </c>
      <c r="C345" s="14">
        <v>1350000</v>
      </c>
      <c r="D345" s="14">
        <v>50000</v>
      </c>
      <c r="E345" s="14">
        <v>45000</v>
      </c>
      <c r="F345" s="14">
        <v>50000</v>
      </c>
      <c r="G345" s="14">
        <f t="shared" si="8"/>
        <v>1495000</v>
      </c>
    </row>
    <row r="346" spans="1:7" x14ac:dyDescent="0.25">
      <c r="A346" s="1">
        <v>29</v>
      </c>
      <c r="B346" s="1" t="s">
        <v>196</v>
      </c>
      <c r="C346" s="14">
        <v>15000</v>
      </c>
      <c r="D346" s="14">
        <v>0</v>
      </c>
      <c r="E346" s="14">
        <v>0</v>
      </c>
      <c r="F346" s="14"/>
      <c r="G346" s="14">
        <f t="shared" si="8"/>
        <v>15000</v>
      </c>
    </row>
    <row r="347" spans="1:7" x14ac:dyDescent="0.25">
      <c r="A347" s="1">
        <v>30</v>
      </c>
      <c r="B347" s="1" t="s">
        <v>197</v>
      </c>
      <c r="C347" s="14">
        <v>570000</v>
      </c>
      <c r="D347" s="14">
        <v>0</v>
      </c>
      <c r="E347" s="14">
        <v>0</v>
      </c>
      <c r="F347" s="14">
        <v>50000</v>
      </c>
      <c r="G347" s="14">
        <f t="shared" si="8"/>
        <v>620000</v>
      </c>
    </row>
    <row r="348" spans="1:7" x14ac:dyDescent="0.25">
      <c r="A348" s="38">
        <v>31</v>
      </c>
      <c r="B348" s="1" t="s">
        <v>284</v>
      </c>
      <c r="C348" s="14">
        <v>430000</v>
      </c>
      <c r="D348" s="14">
        <v>0</v>
      </c>
      <c r="E348" s="14">
        <v>10000</v>
      </c>
      <c r="F348" s="14">
        <v>10000</v>
      </c>
      <c r="G348" s="14">
        <f t="shared" si="8"/>
        <v>450000</v>
      </c>
    </row>
    <row r="349" spans="1:7" x14ac:dyDescent="0.25">
      <c r="A349" s="38">
        <v>32</v>
      </c>
      <c r="B349" s="75" t="s">
        <v>238</v>
      </c>
      <c r="C349" s="14">
        <v>150000</v>
      </c>
      <c r="D349" s="14">
        <v>0</v>
      </c>
      <c r="E349" s="14">
        <v>0</v>
      </c>
      <c r="F349" s="14"/>
      <c r="G349" s="14">
        <f t="shared" si="8"/>
        <v>150000</v>
      </c>
    </row>
    <row r="350" spans="1:7" x14ac:dyDescent="0.25">
      <c r="A350" s="38">
        <v>33</v>
      </c>
      <c r="B350" s="1" t="s">
        <v>201</v>
      </c>
      <c r="C350" s="14">
        <v>500000</v>
      </c>
      <c r="D350" s="14">
        <v>0</v>
      </c>
      <c r="E350" s="14">
        <v>0</v>
      </c>
      <c r="F350" s="14"/>
      <c r="G350" s="14">
        <f t="shared" si="8"/>
        <v>500000</v>
      </c>
    </row>
    <row r="351" spans="1:7" x14ac:dyDescent="0.25">
      <c r="A351" s="38">
        <v>34</v>
      </c>
      <c r="B351" s="1" t="s">
        <v>204</v>
      </c>
      <c r="C351" s="14">
        <v>570000</v>
      </c>
      <c r="D351" s="14">
        <v>100000</v>
      </c>
      <c r="E351" s="14">
        <v>0</v>
      </c>
      <c r="F351" s="14"/>
      <c r="G351" s="14">
        <f t="shared" si="8"/>
        <v>670000</v>
      </c>
    </row>
    <row r="352" spans="1:7" x14ac:dyDescent="0.25">
      <c r="A352" s="38">
        <v>35</v>
      </c>
      <c r="B352" s="1" t="s">
        <v>205</v>
      </c>
      <c r="C352" s="14">
        <v>500000</v>
      </c>
      <c r="D352" s="14">
        <v>0</v>
      </c>
      <c r="E352" s="14">
        <v>0</v>
      </c>
      <c r="F352" s="14"/>
      <c r="G352" s="14">
        <f t="shared" si="8"/>
        <v>500000</v>
      </c>
    </row>
    <row r="353" spans="1:7" x14ac:dyDescent="0.25">
      <c r="A353" s="38">
        <v>36</v>
      </c>
      <c r="B353" s="1" t="s">
        <v>208</v>
      </c>
      <c r="C353" s="14">
        <v>690000</v>
      </c>
      <c r="D353" s="14">
        <v>20000</v>
      </c>
      <c r="E353" s="14">
        <v>20000</v>
      </c>
      <c r="F353" s="14">
        <v>20000</v>
      </c>
      <c r="G353" s="14">
        <f t="shared" si="8"/>
        <v>750000</v>
      </c>
    </row>
    <row r="354" spans="1:7" x14ac:dyDescent="0.25">
      <c r="A354" s="38">
        <v>37</v>
      </c>
      <c r="B354" s="1" t="s">
        <v>230</v>
      </c>
      <c r="C354" s="14">
        <v>500000</v>
      </c>
      <c r="D354" s="14">
        <v>0</v>
      </c>
      <c r="E354" s="14">
        <v>0</v>
      </c>
      <c r="F354" s="14"/>
      <c r="G354" s="14">
        <f t="shared" si="8"/>
        <v>500000</v>
      </c>
    </row>
    <row r="355" spans="1:7" x14ac:dyDescent="0.25">
      <c r="A355" s="38">
        <v>38</v>
      </c>
      <c r="B355" s="38" t="s">
        <v>236</v>
      </c>
      <c r="C355" s="14">
        <v>540000</v>
      </c>
      <c r="D355" s="14">
        <v>10000</v>
      </c>
      <c r="E355" s="14">
        <v>10000</v>
      </c>
      <c r="F355" s="14">
        <v>10000</v>
      </c>
      <c r="G355" s="14">
        <f t="shared" si="8"/>
        <v>570000</v>
      </c>
    </row>
    <row r="356" spans="1:7" x14ac:dyDescent="0.25">
      <c r="A356" s="38">
        <v>39</v>
      </c>
      <c r="B356" s="38" t="s">
        <v>285</v>
      </c>
      <c r="C356" s="14">
        <v>500000</v>
      </c>
      <c r="D356" s="14">
        <v>0</v>
      </c>
      <c r="E356" s="14">
        <v>0</v>
      </c>
      <c r="F356" s="14"/>
      <c r="G356" s="14">
        <f t="shared" si="8"/>
        <v>500000</v>
      </c>
    </row>
    <row r="357" spans="1:7" x14ac:dyDescent="0.25">
      <c r="A357" s="38">
        <v>40</v>
      </c>
      <c r="B357" s="1" t="s">
        <v>286</v>
      </c>
      <c r="C357" s="14">
        <v>250000</v>
      </c>
      <c r="D357" s="14">
        <v>300000</v>
      </c>
      <c r="E357" s="14">
        <v>10000</v>
      </c>
      <c r="F357" s="14">
        <v>10000</v>
      </c>
      <c r="G357" s="14">
        <f t="shared" si="8"/>
        <v>570000</v>
      </c>
    </row>
    <row r="358" spans="1:7" x14ac:dyDescent="0.25">
      <c r="A358" s="38">
        <v>41</v>
      </c>
      <c r="B358" s="1" t="s">
        <v>287</v>
      </c>
      <c r="C358" s="14">
        <v>100000</v>
      </c>
      <c r="D358" s="14">
        <v>0</v>
      </c>
      <c r="E358" s="14">
        <v>0</v>
      </c>
      <c r="F358" s="14"/>
      <c r="G358" s="14">
        <f t="shared" si="8"/>
        <v>100000</v>
      </c>
    </row>
    <row r="359" spans="1:7" x14ac:dyDescent="0.25">
      <c r="A359" s="38">
        <v>42</v>
      </c>
      <c r="B359" s="1" t="s">
        <v>288</v>
      </c>
      <c r="C359" s="14">
        <v>50000</v>
      </c>
      <c r="D359" s="14">
        <v>35000</v>
      </c>
      <c r="E359" s="14">
        <v>21000</v>
      </c>
      <c r="F359" s="14">
        <v>20000</v>
      </c>
      <c r="G359" s="14">
        <f t="shared" si="8"/>
        <v>126000</v>
      </c>
    </row>
    <row r="360" spans="1:7" x14ac:dyDescent="0.25">
      <c r="A360" s="75">
        <v>43</v>
      </c>
      <c r="B360" s="1" t="s">
        <v>289</v>
      </c>
      <c r="C360" s="14">
        <v>25000</v>
      </c>
      <c r="D360" s="14">
        <v>50000</v>
      </c>
      <c r="E360" s="14">
        <v>0</v>
      </c>
      <c r="F360" s="14">
        <v>50000</v>
      </c>
      <c r="G360" s="14">
        <f t="shared" si="8"/>
        <v>125000</v>
      </c>
    </row>
    <row r="361" spans="1:7" x14ac:dyDescent="0.25">
      <c r="A361" s="1"/>
      <c r="B361" s="58" t="s">
        <v>138</v>
      </c>
      <c r="C361" s="15">
        <f>SUM(C318:C360)</f>
        <v>22227400</v>
      </c>
      <c r="D361" s="15">
        <f>SUM(D318:D360)</f>
        <v>790000</v>
      </c>
      <c r="E361" s="15">
        <f>SUM(E318:E360)</f>
        <v>446000</v>
      </c>
      <c r="F361" s="15">
        <f>SUM(F318:F360)</f>
        <v>445000</v>
      </c>
      <c r="G361" s="15">
        <f>SUM(G318:G360)</f>
        <v>23908400</v>
      </c>
    </row>
    <row r="365" spans="1:7" ht="18.75" x14ac:dyDescent="0.3">
      <c r="B365" s="5" t="s">
        <v>80</v>
      </c>
    </row>
    <row r="366" spans="1:7" ht="18.75" x14ac:dyDescent="0.3">
      <c r="B366" s="5" t="s">
        <v>64</v>
      </c>
    </row>
    <row r="367" spans="1:7" ht="18.75" x14ac:dyDescent="0.3">
      <c r="B367" s="5" t="s">
        <v>162</v>
      </c>
    </row>
    <row r="368" spans="1:7" ht="18.75" x14ac:dyDescent="0.3">
      <c r="B368" s="5" t="s">
        <v>295</v>
      </c>
    </row>
    <row r="369" spans="1:7" x14ac:dyDescent="0.25">
      <c r="A369" s="3" t="s">
        <v>163</v>
      </c>
      <c r="B369" s="3" t="s">
        <v>164</v>
      </c>
      <c r="C369" s="59" t="s">
        <v>292</v>
      </c>
      <c r="D369" s="53">
        <v>42826</v>
      </c>
      <c r="E369" s="53">
        <v>42856</v>
      </c>
      <c r="F369" s="53">
        <v>42887</v>
      </c>
      <c r="G369" s="3" t="s">
        <v>166</v>
      </c>
    </row>
    <row r="370" spans="1:7" x14ac:dyDescent="0.25">
      <c r="A370" s="1">
        <v>1</v>
      </c>
      <c r="B370" s="1" t="s">
        <v>167</v>
      </c>
      <c r="C370" s="27">
        <v>480000</v>
      </c>
      <c r="D370" s="27">
        <v>0</v>
      </c>
      <c r="E370" s="27">
        <v>0</v>
      </c>
      <c r="F370" s="27">
        <v>0</v>
      </c>
      <c r="G370" s="27">
        <f>SUM(C370:F370)</f>
        <v>480000</v>
      </c>
    </row>
    <row r="371" spans="1:7" x14ac:dyDescent="0.25">
      <c r="A371" s="1">
        <v>2</v>
      </c>
      <c r="B371" s="1" t="s">
        <v>168</v>
      </c>
      <c r="C371" s="27">
        <v>500000</v>
      </c>
      <c r="D371" s="27">
        <v>5000</v>
      </c>
      <c r="E371" s="27">
        <v>0</v>
      </c>
      <c r="F371" s="27">
        <v>5000</v>
      </c>
      <c r="G371" s="27">
        <f t="shared" ref="G371:G413" si="9">SUM(C371:F371)</f>
        <v>510000</v>
      </c>
    </row>
    <row r="372" spans="1:7" x14ac:dyDescent="0.25">
      <c r="A372" s="1">
        <v>3</v>
      </c>
      <c r="B372" s="1" t="s">
        <v>169</v>
      </c>
      <c r="C372" s="27">
        <v>760000</v>
      </c>
      <c r="D372" s="27">
        <v>20000</v>
      </c>
      <c r="E372" s="27">
        <v>20000</v>
      </c>
      <c r="F372" s="27">
        <v>40000</v>
      </c>
      <c r="G372" s="27">
        <f t="shared" si="9"/>
        <v>840000</v>
      </c>
    </row>
    <row r="373" spans="1:7" x14ac:dyDescent="0.25">
      <c r="A373" s="1">
        <v>4</v>
      </c>
      <c r="B373" s="1" t="s">
        <v>170</v>
      </c>
      <c r="C373" s="27">
        <v>550000</v>
      </c>
      <c r="D373" s="27">
        <v>0</v>
      </c>
      <c r="E373" s="27">
        <v>0</v>
      </c>
      <c r="F373" s="27">
        <v>0</v>
      </c>
      <c r="G373" s="27">
        <f t="shared" si="9"/>
        <v>550000</v>
      </c>
    </row>
    <row r="374" spans="1:7" x14ac:dyDescent="0.25">
      <c r="A374" s="1">
        <v>5</v>
      </c>
      <c r="B374" s="1" t="s">
        <v>171</v>
      </c>
      <c r="C374" s="27">
        <v>502000</v>
      </c>
      <c r="D374" s="27">
        <v>0</v>
      </c>
      <c r="E374" s="27">
        <v>0</v>
      </c>
      <c r="F374" s="27">
        <v>0</v>
      </c>
      <c r="G374" s="27">
        <f t="shared" si="9"/>
        <v>502000</v>
      </c>
    </row>
    <row r="375" spans="1:7" x14ac:dyDescent="0.25">
      <c r="A375" s="1">
        <v>6</v>
      </c>
      <c r="B375" s="1" t="s">
        <v>174</v>
      </c>
      <c r="C375" s="27">
        <v>910000</v>
      </c>
      <c r="D375" s="27">
        <v>20000</v>
      </c>
      <c r="E375" s="27">
        <v>0</v>
      </c>
      <c r="F375" s="27">
        <v>20000</v>
      </c>
      <c r="G375" s="27">
        <f t="shared" si="9"/>
        <v>950000</v>
      </c>
    </row>
    <row r="376" spans="1:7" x14ac:dyDescent="0.25">
      <c r="A376" s="1">
        <v>7</v>
      </c>
      <c r="B376" s="1" t="s">
        <v>172</v>
      </c>
      <c r="C376" s="27">
        <v>280000</v>
      </c>
      <c r="D376" s="27">
        <v>0</v>
      </c>
      <c r="E376" s="27">
        <v>0</v>
      </c>
      <c r="F376" s="27">
        <v>0</v>
      </c>
      <c r="G376" s="27">
        <f t="shared" si="9"/>
        <v>280000</v>
      </c>
    </row>
    <row r="377" spans="1:7" x14ac:dyDescent="0.25">
      <c r="A377" s="1">
        <v>8</v>
      </c>
      <c r="B377" s="1" t="s">
        <v>173</v>
      </c>
      <c r="C377" s="27">
        <v>560000</v>
      </c>
      <c r="D377" s="27">
        <v>10000</v>
      </c>
      <c r="E377" s="27">
        <v>0</v>
      </c>
      <c r="F377" s="27">
        <v>0</v>
      </c>
      <c r="G377" s="27">
        <f t="shared" si="9"/>
        <v>570000</v>
      </c>
    </row>
    <row r="378" spans="1:7" x14ac:dyDescent="0.25">
      <c r="A378" s="1">
        <v>9</v>
      </c>
      <c r="B378" s="1" t="s">
        <v>175</v>
      </c>
      <c r="C378" s="27">
        <v>410000</v>
      </c>
      <c r="D378" s="27">
        <v>0</v>
      </c>
      <c r="E378" s="27">
        <v>0</v>
      </c>
      <c r="F378" s="27">
        <v>0</v>
      </c>
      <c r="G378" s="27">
        <f t="shared" si="9"/>
        <v>410000</v>
      </c>
    </row>
    <row r="379" spans="1:7" x14ac:dyDescent="0.25">
      <c r="A379" s="1">
        <v>10</v>
      </c>
      <c r="B379" s="1" t="s">
        <v>176</v>
      </c>
      <c r="C379" s="27">
        <v>405000</v>
      </c>
      <c r="D379" s="27">
        <v>0</v>
      </c>
      <c r="E379" s="27">
        <v>0</v>
      </c>
      <c r="F379" s="27">
        <v>25000</v>
      </c>
      <c r="G379" s="27">
        <f t="shared" si="9"/>
        <v>430000</v>
      </c>
    </row>
    <row r="380" spans="1:7" x14ac:dyDescent="0.25">
      <c r="A380" s="1">
        <v>11</v>
      </c>
      <c r="B380" s="1" t="s">
        <v>177</v>
      </c>
      <c r="C380" s="27">
        <v>520000</v>
      </c>
      <c r="D380" s="14">
        <v>0</v>
      </c>
      <c r="E380" s="14">
        <v>0</v>
      </c>
      <c r="F380" s="14">
        <v>0</v>
      </c>
      <c r="G380" s="14">
        <f t="shared" si="9"/>
        <v>520000</v>
      </c>
    </row>
    <row r="381" spans="1:7" x14ac:dyDescent="0.25">
      <c r="A381" s="1">
        <v>12</v>
      </c>
      <c r="B381" s="1" t="s">
        <v>178</v>
      </c>
      <c r="C381" s="14">
        <v>880000</v>
      </c>
      <c r="D381" s="14">
        <v>10000</v>
      </c>
      <c r="E381" s="14">
        <v>10000</v>
      </c>
      <c r="F381" s="14">
        <v>10000</v>
      </c>
      <c r="G381" s="14">
        <f t="shared" si="9"/>
        <v>910000</v>
      </c>
    </row>
    <row r="382" spans="1:7" x14ac:dyDescent="0.25">
      <c r="A382" s="1">
        <v>13</v>
      </c>
      <c r="B382" s="1" t="s">
        <v>179</v>
      </c>
      <c r="C382" s="14">
        <v>570000</v>
      </c>
      <c r="D382" s="14">
        <v>0</v>
      </c>
      <c r="E382" s="14">
        <v>0</v>
      </c>
      <c r="F382" s="14">
        <v>0</v>
      </c>
      <c r="G382" s="14">
        <f t="shared" si="9"/>
        <v>570000</v>
      </c>
    </row>
    <row r="383" spans="1:7" x14ac:dyDescent="0.25">
      <c r="A383" s="1">
        <v>14</v>
      </c>
      <c r="B383" s="1" t="s">
        <v>180</v>
      </c>
      <c r="C383" s="14">
        <v>840000</v>
      </c>
      <c r="D383" s="14">
        <v>0</v>
      </c>
      <c r="E383" s="14">
        <v>0</v>
      </c>
      <c r="F383" s="14">
        <v>0</v>
      </c>
      <c r="G383" s="14">
        <f t="shared" si="9"/>
        <v>840000</v>
      </c>
    </row>
    <row r="384" spans="1:7" x14ac:dyDescent="0.25">
      <c r="A384" s="1">
        <v>15</v>
      </c>
      <c r="B384" s="1" t="s">
        <v>181</v>
      </c>
      <c r="C384" s="14">
        <v>1190000</v>
      </c>
      <c r="D384" s="14">
        <v>20000</v>
      </c>
      <c r="E384" s="14">
        <v>20000</v>
      </c>
      <c r="F384" s="14">
        <v>20000</v>
      </c>
      <c r="G384" s="14">
        <f t="shared" si="9"/>
        <v>1250000</v>
      </c>
    </row>
    <row r="385" spans="1:7" x14ac:dyDescent="0.25">
      <c r="A385" s="1">
        <v>16</v>
      </c>
      <c r="B385" s="1" t="s">
        <v>182</v>
      </c>
      <c r="C385" s="14">
        <v>335000</v>
      </c>
      <c r="D385" s="14">
        <v>15000</v>
      </c>
      <c r="E385" s="14">
        <v>0</v>
      </c>
      <c r="F385" s="14">
        <v>0</v>
      </c>
      <c r="G385" s="14">
        <f t="shared" si="9"/>
        <v>350000</v>
      </c>
    </row>
    <row r="386" spans="1:7" x14ac:dyDescent="0.25">
      <c r="A386" s="1">
        <v>17</v>
      </c>
      <c r="B386" s="1" t="s">
        <v>183</v>
      </c>
      <c r="C386" s="14">
        <v>550000</v>
      </c>
      <c r="D386" s="14">
        <v>0</v>
      </c>
      <c r="E386" s="14">
        <v>0</v>
      </c>
      <c r="F386" s="14">
        <v>0</v>
      </c>
      <c r="G386" s="14">
        <f t="shared" si="9"/>
        <v>550000</v>
      </c>
    </row>
    <row r="387" spans="1:7" x14ac:dyDescent="0.25">
      <c r="A387" s="1">
        <v>18</v>
      </c>
      <c r="B387" s="1" t="s">
        <v>184</v>
      </c>
      <c r="C387" s="14">
        <v>816400</v>
      </c>
      <c r="D387" s="14">
        <v>0</v>
      </c>
      <c r="E387" s="14">
        <v>0</v>
      </c>
      <c r="F387" s="14">
        <v>0</v>
      </c>
      <c r="G387" s="14">
        <f t="shared" si="9"/>
        <v>816400</v>
      </c>
    </row>
    <row r="388" spans="1:7" x14ac:dyDescent="0.25">
      <c r="A388" s="1">
        <v>19</v>
      </c>
      <c r="B388" s="1" t="s">
        <v>185</v>
      </c>
      <c r="C388" s="14">
        <v>500000</v>
      </c>
      <c r="D388" s="14">
        <v>0</v>
      </c>
      <c r="E388" s="14">
        <v>0</v>
      </c>
      <c r="F388" s="14">
        <v>0</v>
      </c>
      <c r="G388" s="14">
        <f t="shared" si="9"/>
        <v>500000</v>
      </c>
    </row>
    <row r="389" spans="1:7" x14ac:dyDescent="0.25">
      <c r="A389" s="1">
        <v>20</v>
      </c>
      <c r="B389" s="1" t="s">
        <v>186</v>
      </c>
      <c r="C389" s="14">
        <v>500000</v>
      </c>
      <c r="D389" s="14">
        <v>0</v>
      </c>
      <c r="E389" s="14">
        <v>0</v>
      </c>
      <c r="F389" s="14">
        <v>0</v>
      </c>
      <c r="G389" s="14">
        <f t="shared" si="9"/>
        <v>500000</v>
      </c>
    </row>
    <row r="390" spans="1:7" x14ac:dyDescent="0.25">
      <c r="A390" s="1">
        <v>21</v>
      </c>
      <c r="B390" s="1" t="s">
        <v>187</v>
      </c>
      <c r="C390" s="14">
        <v>500000</v>
      </c>
      <c r="D390" s="14">
        <v>0</v>
      </c>
      <c r="E390" s="14">
        <v>0</v>
      </c>
      <c r="F390" s="14">
        <v>0</v>
      </c>
      <c r="G390" s="14">
        <f t="shared" si="9"/>
        <v>500000</v>
      </c>
    </row>
    <row r="391" spans="1:7" x14ac:dyDescent="0.25">
      <c r="A391" s="1">
        <v>22</v>
      </c>
      <c r="B391" s="1" t="s">
        <v>188</v>
      </c>
      <c r="C391" s="14">
        <v>450000</v>
      </c>
      <c r="D391" s="14">
        <v>0</v>
      </c>
      <c r="E391" s="14">
        <v>0</v>
      </c>
      <c r="F391" s="14">
        <v>0</v>
      </c>
      <c r="G391" s="14">
        <f t="shared" si="9"/>
        <v>450000</v>
      </c>
    </row>
    <row r="392" spans="1:7" x14ac:dyDescent="0.25">
      <c r="A392" s="1">
        <v>23</v>
      </c>
      <c r="B392" s="1" t="s">
        <v>189</v>
      </c>
      <c r="C392" s="14">
        <v>380000</v>
      </c>
      <c r="D392" s="14">
        <v>0</v>
      </c>
      <c r="E392" s="14">
        <v>15000</v>
      </c>
      <c r="F392" s="14">
        <v>10000</v>
      </c>
      <c r="G392" s="14">
        <f t="shared" si="9"/>
        <v>405000</v>
      </c>
    </row>
    <row r="393" spans="1:7" x14ac:dyDescent="0.25">
      <c r="A393" s="1">
        <v>24</v>
      </c>
      <c r="B393" s="1" t="s">
        <v>190</v>
      </c>
      <c r="C393" s="27">
        <v>500000</v>
      </c>
      <c r="D393" s="27">
        <v>0</v>
      </c>
      <c r="E393" s="27">
        <v>0</v>
      </c>
      <c r="F393" s="27">
        <v>0</v>
      </c>
      <c r="G393" s="27">
        <f t="shared" si="9"/>
        <v>500000</v>
      </c>
    </row>
    <row r="394" spans="1:7" x14ac:dyDescent="0.25">
      <c r="A394" s="1">
        <v>25</v>
      </c>
      <c r="B394" s="1" t="s">
        <v>191</v>
      </c>
      <c r="C394" s="14">
        <v>679000</v>
      </c>
      <c r="D394" s="14">
        <v>0</v>
      </c>
      <c r="E394" s="14">
        <v>0</v>
      </c>
      <c r="F394" s="14">
        <v>0</v>
      </c>
      <c r="G394" s="14">
        <f t="shared" si="9"/>
        <v>679000</v>
      </c>
    </row>
    <row r="395" spans="1:7" x14ac:dyDescent="0.25">
      <c r="A395" s="1">
        <v>26</v>
      </c>
      <c r="B395" s="1" t="s">
        <v>192</v>
      </c>
      <c r="C395" s="14">
        <v>380000</v>
      </c>
      <c r="D395" s="14">
        <v>20000</v>
      </c>
      <c r="E395" s="14">
        <v>20000</v>
      </c>
      <c r="F395" s="14">
        <v>0</v>
      </c>
      <c r="G395" s="14">
        <f t="shared" si="9"/>
        <v>420000</v>
      </c>
    </row>
    <row r="396" spans="1:7" x14ac:dyDescent="0.25">
      <c r="A396" s="1">
        <v>27</v>
      </c>
      <c r="B396" s="1" t="s">
        <v>193</v>
      </c>
      <c r="C396" s="14">
        <v>1320000</v>
      </c>
      <c r="D396" s="14">
        <v>0</v>
      </c>
      <c r="E396" s="14">
        <v>0</v>
      </c>
      <c r="F396" s="14">
        <v>0</v>
      </c>
      <c r="G396" s="14">
        <f t="shared" si="9"/>
        <v>1320000</v>
      </c>
    </row>
    <row r="397" spans="1:7" x14ac:dyDescent="0.25">
      <c r="A397" s="1">
        <v>28</v>
      </c>
      <c r="B397" s="1" t="s">
        <v>195</v>
      </c>
      <c r="C397" s="14">
        <v>1495000</v>
      </c>
      <c r="D397" s="14">
        <v>50000</v>
      </c>
      <c r="E397" s="14">
        <v>50000</v>
      </c>
      <c r="F397" s="14">
        <v>0</v>
      </c>
      <c r="G397" s="14">
        <f t="shared" si="9"/>
        <v>1595000</v>
      </c>
    </row>
    <row r="398" spans="1:7" x14ac:dyDescent="0.25">
      <c r="A398" s="1">
        <v>29</v>
      </c>
      <c r="B398" s="1" t="s">
        <v>196</v>
      </c>
      <c r="C398" s="14">
        <v>15000</v>
      </c>
      <c r="D398" s="14">
        <v>0</v>
      </c>
      <c r="E398" s="14">
        <v>0</v>
      </c>
      <c r="F398" s="14">
        <v>5000</v>
      </c>
      <c r="G398" s="14">
        <f t="shared" si="9"/>
        <v>20000</v>
      </c>
    </row>
    <row r="399" spans="1:7" x14ac:dyDescent="0.25">
      <c r="A399" s="1">
        <v>30</v>
      </c>
      <c r="B399" s="1" t="s">
        <v>197</v>
      </c>
      <c r="C399" s="14">
        <v>620000</v>
      </c>
      <c r="D399" s="14">
        <v>0</v>
      </c>
      <c r="E399" s="14">
        <v>0</v>
      </c>
      <c r="F399" s="14">
        <v>0</v>
      </c>
      <c r="G399" s="14">
        <f t="shared" si="9"/>
        <v>620000</v>
      </c>
    </row>
    <row r="400" spans="1:7" x14ac:dyDescent="0.25">
      <c r="A400" s="38">
        <v>31</v>
      </c>
      <c r="B400" s="1" t="s">
        <v>284</v>
      </c>
      <c r="C400" s="14">
        <v>450000</v>
      </c>
      <c r="D400" s="14">
        <v>0</v>
      </c>
      <c r="E400" s="14">
        <v>15000</v>
      </c>
      <c r="F400" s="14">
        <v>0</v>
      </c>
      <c r="G400" s="14">
        <f t="shared" si="9"/>
        <v>465000</v>
      </c>
    </row>
    <row r="401" spans="1:7" x14ac:dyDescent="0.25">
      <c r="A401" s="38">
        <v>32</v>
      </c>
      <c r="B401" s="75" t="s">
        <v>238</v>
      </c>
      <c r="C401" s="14">
        <v>150000</v>
      </c>
      <c r="D401" s="14">
        <v>0</v>
      </c>
      <c r="E401" s="14">
        <v>0</v>
      </c>
      <c r="F401" s="14">
        <v>0</v>
      </c>
      <c r="G401" s="14">
        <f t="shared" si="9"/>
        <v>150000</v>
      </c>
    </row>
    <row r="402" spans="1:7" x14ac:dyDescent="0.25">
      <c r="A402" s="38">
        <v>33</v>
      </c>
      <c r="B402" s="1" t="s">
        <v>201</v>
      </c>
      <c r="C402" s="14">
        <v>500000</v>
      </c>
      <c r="D402" s="14">
        <v>0</v>
      </c>
      <c r="E402" s="14">
        <v>0</v>
      </c>
      <c r="F402" s="14">
        <v>0</v>
      </c>
      <c r="G402" s="14">
        <f t="shared" si="9"/>
        <v>500000</v>
      </c>
    </row>
    <row r="403" spans="1:7" x14ac:dyDescent="0.25">
      <c r="A403" s="38">
        <v>34</v>
      </c>
      <c r="B403" s="1" t="s">
        <v>204</v>
      </c>
      <c r="C403" s="14">
        <v>670000</v>
      </c>
      <c r="D403" s="14">
        <v>0</v>
      </c>
      <c r="E403" s="14">
        <v>100058</v>
      </c>
      <c r="F403" s="14">
        <v>0</v>
      </c>
      <c r="G403" s="14">
        <f t="shared" si="9"/>
        <v>770058</v>
      </c>
    </row>
    <row r="404" spans="1:7" x14ac:dyDescent="0.25">
      <c r="A404" s="38">
        <v>35</v>
      </c>
      <c r="B404" s="1" t="s">
        <v>205</v>
      </c>
      <c r="C404" s="14">
        <v>500000</v>
      </c>
      <c r="D404" s="14">
        <v>0</v>
      </c>
      <c r="E404" s="14">
        <v>0</v>
      </c>
      <c r="F404" s="14">
        <v>0</v>
      </c>
      <c r="G404" s="14">
        <f t="shared" si="9"/>
        <v>500000</v>
      </c>
    </row>
    <row r="405" spans="1:7" x14ac:dyDescent="0.25">
      <c r="A405" s="38">
        <v>36</v>
      </c>
      <c r="B405" s="1" t="s">
        <v>208</v>
      </c>
      <c r="C405" s="14">
        <v>750000</v>
      </c>
      <c r="D405" s="14">
        <v>40000</v>
      </c>
      <c r="E405" s="14">
        <v>20000</v>
      </c>
      <c r="F405" s="14">
        <v>20000</v>
      </c>
      <c r="G405" s="14">
        <f t="shared" si="9"/>
        <v>830000</v>
      </c>
    </row>
    <row r="406" spans="1:7" x14ac:dyDescent="0.25">
      <c r="A406" s="38">
        <v>37</v>
      </c>
      <c r="B406" s="1" t="s">
        <v>230</v>
      </c>
      <c r="C406" s="14">
        <v>500000</v>
      </c>
      <c r="D406" s="14">
        <v>0</v>
      </c>
      <c r="E406" s="14">
        <v>0</v>
      </c>
      <c r="F406" s="14">
        <v>0</v>
      </c>
      <c r="G406" s="14">
        <f t="shared" si="9"/>
        <v>500000</v>
      </c>
    </row>
    <row r="407" spans="1:7" x14ac:dyDescent="0.25">
      <c r="A407" s="38">
        <v>38</v>
      </c>
      <c r="B407" s="38" t="s">
        <v>236</v>
      </c>
      <c r="C407" s="14">
        <v>570000</v>
      </c>
      <c r="D407" s="14">
        <v>10000</v>
      </c>
      <c r="E407" s="14">
        <v>10000</v>
      </c>
      <c r="F407" s="14">
        <v>0</v>
      </c>
      <c r="G407" s="14">
        <f t="shared" si="9"/>
        <v>590000</v>
      </c>
    </row>
    <row r="408" spans="1:7" x14ac:dyDescent="0.25">
      <c r="A408" s="38">
        <v>39</v>
      </c>
      <c r="B408" s="38" t="s">
        <v>285</v>
      </c>
      <c r="C408" s="14">
        <v>500000</v>
      </c>
      <c r="D408" s="14">
        <v>0</v>
      </c>
      <c r="E408" s="14">
        <v>0</v>
      </c>
      <c r="F408" s="14">
        <v>0</v>
      </c>
      <c r="G408" s="14">
        <f t="shared" si="9"/>
        <v>500000</v>
      </c>
    </row>
    <row r="409" spans="1:7" x14ac:dyDescent="0.25">
      <c r="A409" s="38">
        <v>40</v>
      </c>
      <c r="B409" s="1" t="s">
        <v>286</v>
      </c>
      <c r="C409" s="14">
        <v>570000</v>
      </c>
      <c r="D409" s="14">
        <v>10000</v>
      </c>
      <c r="E409" s="14">
        <v>10000</v>
      </c>
      <c r="F409" s="14">
        <v>10000</v>
      </c>
      <c r="G409" s="14">
        <f t="shared" si="9"/>
        <v>600000</v>
      </c>
    </row>
    <row r="410" spans="1:7" x14ac:dyDescent="0.25">
      <c r="A410" s="38">
        <v>41</v>
      </c>
      <c r="B410" s="1" t="s">
        <v>287</v>
      </c>
      <c r="C410" s="14">
        <v>100000</v>
      </c>
      <c r="D410" s="14">
        <v>0</v>
      </c>
      <c r="E410" s="14">
        <v>0</v>
      </c>
      <c r="F410" s="14">
        <v>0</v>
      </c>
      <c r="G410" s="14">
        <f t="shared" si="9"/>
        <v>100000</v>
      </c>
    </row>
    <row r="411" spans="1:7" x14ac:dyDescent="0.25">
      <c r="A411" s="38">
        <v>42</v>
      </c>
      <c r="B411" s="1" t="s">
        <v>288</v>
      </c>
      <c r="C411" s="14">
        <v>126000</v>
      </c>
      <c r="D411" s="14">
        <v>0</v>
      </c>
      <c r="E411" s="14">
        <v>0</v>
      </c>
      <c r="F411" s="14">
        <v>75000</v>
      </c>
      <c r="G411" s="14">
        <f t="shared" si="9"/>
        <v>201000</v>
      </c>
    </row>
    <row r="412" spans="1:7" x14ac:dyDescent="0.25">
      <c r="A412" s="75">
        <v>43</v>
      </c>
      <c r="B412" s="1" t="s">
        <v>289</v>
      </c>
      <c r="C412" s="14">
        <v>125000</v>
      </c>
      <c r="D412" s="14">
        <v>50000</v>
      </c>
      <c r="E412" s="14">
        <v>50000</v>
      </c>
      <c r="F412" s="14">
        <v>0</v>
      </c>
      <c r="G412" s="14">
        <f t="shared" ref="G412" si="10">SUM(C412:F412)</f>
        <v>225000</v>
      </c>
    </row>
    <row r="413" spans="1:7" x14ac:dyDescent="0.25">
      <c r="A413" s="75">
        <v>44</v>
      </c>
      <c r="B413" s="1" t="s">
        <v>294</v>
      </c>
      <c r="C413" s="14">
        <v>0</v>
      </c>
      <c r="D413" s="14">
        <v>0</v>
      </c>
      <c r="E413" s="14">
        <v>400000</v>
      </c>
      <c r="F413" s="14">
        <v>0</v>
      </c>
      <c r="G413" s="14">
        <f t="shared" si="9"/>
        <v>400000</v>
      </c>
    </row>
    <row r="414" spans="1:7" x14ac:dyDescent="0.25">
      <c r="A414" s="1"/>
      <c r="B414" s="58" t="s">
        <v>138</v>
      </c>
      <c r="C414" s="15">
        <f>SUM(C370:C413)</f>
        <v>23908400</v>
      </c>
      <c r="D414" s="15">
        <f>SUM(D370:D413)</f>
        <v>280000</v>
      </c>
      <c r="E414" s="15">
        <f>SUM(E370:E413)</f>
        <v>740058</v>
      </c>
      <c r="F414" s="15">
        <f>SUM(F370:F413)</f>
        <v>240000</v>
      </c>
      <c r="G414" s="15">
        <f>SUM(G370:G413)</f>
        <v>25168458</v>
      </c>
    </row>
    <row r="417" spans="1:7" ht="18.75" x14ac:dyDescent="0.3">
      <c r="B417" s="5" t="s">
        <v>80</v>
      </c>
    </row>
    <row r="418" spans="1:7" ht="18.75" x14ac:dyDescent="0.3">
      <c r="B418" s="5" t="s">
        <v>64</v>
      </c>
    </row>
    <row r="419" spans="1:7" ht="18.75" x14ac:dyDescent="0.3">
      <c r="B419" s="5" t="s">
        <v>162</v>
      </c>
    </row>
    <row r="420" spans="1:7" ht="18.75" x14ac:dyDescent="0.3">
      <c r="B420" s="5" t="s">
        <v>302</v>
      </c>
    </row>
    <row r="421" spans="1:7" x14ac:dyDescent="0.25">
      <c r="A421" s="3" t="s">
        <v>163</v>
      </c>
      <c r="B421" s="3" t="s">
        <v>164</v>
      </c>
      <c r="C421" s="59" t="s">
        <v>300</v>
      </c>
      <c r="D421" s="53">
        <v>42917</v>
      </c>
      <c r="E421" s="53">
        <v>42948</v>
      </c>
      <c r="F421" s="53">
        <v>42979</v>
      </c>
      <c r="G421" s="3" t="s">
        <v>166</v>
      </c>
    </row>
    <row r="422" spans="1:7" x14ac:dyDescent="0.25">
      <c r="A422" s="1">
        <v>1</v>
      </c>
      <c r="B422" s="1" t="s">
        <v>167</v>
      </c>
      <c r="C422" s="27">
        <v>480000</v>
      </c>
      <c r="D422" s="27">
        <v>0</v>
      </c>
      <c r="E422" s="27">
        <v>20000</v>
      </c>
      <c r="F422" s="27">
        <v>0</v>
      </c>
      <c r="G422" s="27">
        <f>SUM(C422:F422)</f>
        <v>500000</v>
      </c>
    </row>
    <row r="423" spans="1:7" x14ac:dyDescent="0.25">
      <c r="A423" s="1">
        <v>2</v>
      </c>
      <c r="B423" s="1" t="s">
        <v>168</v>
      </c>
      <c r="C423" s="27">
        <v>510000</v>
      </c>
      <c r="D423" s="27">
        <v>0</v>
      </c>
      <c r="E423" s="27">
        <v>5000</v>
      </c>
      <c r="F423" s="27">
        <v>0</v>
      </c>
      <c r="G423" s="27">
        <f t="shared" ref="G423:G466" si="11">SUM(C423:F423)</f>
        <v>515000</v>
      </c>
    </row>
    <row r="424" spans="1:7" x14ac:dyDescent="0.25">
      <c r="A424" s="1">
        <v>3</v>
      </c>
      <c r="B424" s="1" t="s">
        <v>169</v>
      </c>
      <c r="C424" s="27">
        <v>840000</v>
      </c>
      <c r="D424" s="27">
        <v>0</v>
      </c>
      <c r="E424" s="27">
        <v>20000</v>
      </c>
      <c r="F424" s="27">
        <v>0</v>
      </c>
      <c r="G424" s="27">
        <f t="shared" si="11"/>
        <v>860000</v>
      </c>
    </row>
    <row r="425" spans="1:7" x14ac:dyDescent="0.25">
      <c r="A425" s="1">
        <v>4</v>
      </c>
      <c r="B425" s="1" t="s">
        <v>170</v>
      </c>
      <c r="C425" s="27">
        <v>550000</v>
      </c>
      <c r="D425" s="27">
        <v>0</v>
      </c>
      <c r="E425" s="27">
        <v>0</v>
      </c>
      <c r="F425" s="27">
        <v>0</v>
      </c>
      <c r="G425" s="27">
        <f t="shared" si="11"/>
        <v>550000</v>
      </c>
    </row>
    <row r="426" spans="1:7" x14ac:dyDescent="0.25">
      <c r="A426" s="1">
        <v>5</v>
      </c>
      <c r="B426" s="1" t="s">
        <v>171</v>
      </c>
      <c r="C426" s="27">
        <v>502000</v>
      </c>
      <c r="D426" s="27">
        <v>0</v>
      </c>
      <c r="E426" s="27">
        <v>0</v>
      </c>
      <c r="F426" s="27">
        <v>0</v>
      </c>
      <c r="G426" s="27">
        <f t="shared" si="11"/>
        <v>502000</v>
      </c>
    </row>
    <row r="427" spans="1:7" x14ac:dyDescent="0.25">
      <c r="A427" s="1">
        <v>6</v>
      </c>
      <c r="B427" s="1" t="s">
        <v>174</v>
      </c>
      <c r="C427" s="27">
        <v>950000</v>
      </c>
      <c r="D427" s="27">
        <v>20000</v>
      </c>
      <c r="E427" s="27">
        <v>20000</v>
      </c>
      <c r="F427" s="27">
        <v>20000</v>
      </c>
      <c r="G427" s="27">
        <f t="shared" si="11"/>
        <v>1010000</v>
      </c>
    </row>
    <row r="428" spans="1:7" x14ac:dyDescent="0.25">
      <c r="A428" s="1">
        <v>7</v>
      </c>
      <c r="B428" s="1" t="s">
        <v>172</v>
      </c>
      <c r="C428" s="27">
        <v>280000</v>
      </c>
      <c r="D428" s="27">
        <v>0</v>
      </c>
      <c r="E428" s="27">
        <v>0</v>
      </c>
      <c r="F428" s="27">
        <v>0</v>
      </c>
      <c r="G428" s="27">
        <f t="shared" si="11"/>
        <v>280000</v>
      </c>
    </row>
    <row r="429" spans="1:7" x14ac:dyDescent="0.25">
      <c r="A429" s="1">
        <v>8</v>
      </c>
      <c r="B429" s="1" t="s">
        <v>173</v>
      </c>
      <c r="C429" s="27">
        <v>570000</v>
      </c>
      <c r="D429" s="27">
        <v>0</v>
      </c>
      <c r="E429" s="27">
        <v>0</v>
      </c>
      <c r="F429" s="27">
        <v>10000</v>
      </c>
      <c r="G429" s="27">
        <f t="shared" si="11"/>
        <v>580000</v>
      </c>
    </row>
    <row r="430" spans="1:7" x14ac:dyDescent="0.25">
      <c r="A430" s="1">
        <v>9</v>
      </c>
      <c r="B430" s="1" t="s">
        <v>175</v>
      </c>
      <c r="C430" s="27">
        <v>410000</v>
      </c>
      <c r="D430" s="27">
        <v>0</v>
      </c>
      <c r="E430" s="27">
        <v>0</v>
      </c>
      <c r="F430" s="27">
        <v>0</v>
      </c>
      <c r="G430" s="27">
        <f t="shared" si="11"/>
        <v>410000</v>
      </c>
    </row>
    <row r="431" spans="1:7" x14ac:dyDescent="0.25">
      <c r="A431" s="1">
        <v>10</v>
      </c>
      <c r="B431" s="1" t="s">
        <v>176</v>
      </c>
      <c r="C431" s="27">
        <v>430000</v>
      </c>
      <c r="D431" s="27">
        <v>0</v>
      </c>
      <c r="E431" s="27">
        <v>25000</v>
      </c>
      <c r="F431" s="27">
        <v>0</v>
      </c>
      <c r="G431" s="27">
        <f t="shared" si="11"/>
        <v>455000</v>
      </c>
    </row>
    <row r="432" spans="1:7" x14ac:dyDescent="0.25">
      <c r="A432" s="1">
        <v>11</v>
      </c>
      <c r="B432" s="1" t="s">
        <v>177</v>
      </c>
      <c r="C432" s="27">
        <v>520000</v>
      </c>
      <c r="D432" s="27">
        <v>10000</v>
      </c>
      <c r="E432" s="27">
        <v>0</v>
      </c>
      <c r="F432" s="27">
        <v>0</v>
      </c>
      <c r="G432" s="27">
        <f t="shared" si="11"/>
        <v>530000</v>
      </c>
    </row>
    <row r="433" spans="1:7" x14ac:dyDescent="0.25">
      <c r="A433" s="1">
        <v>12</v>
      </c>
      <c r="B433" s="1" t="s">
        <v>178</v>
      </c>
      <c r="C433" s="27">
        <v>910000</v>
      </c>
      <c r="D433" s="27">
        <v>10000</v>
      </c>
      <c r="E433" s="27">
        <v>10000</v>
      </c>
      <c r="F433" s="27">
        <v>10000</v>
      </c>
      <c r="G433" s="27">
        <f t="shared" si="11"/>
        <v>940000</v>
      </c>
    </row>
    <row r="434" spans="1:7" x14ac:dyDescent="0.25">
      <c r="A434" s="1">
        <v>13</v>
      </c>
      <c r="B434" s="1" t="s">
        <v>179</v>
      </c>
      <c r="C434" s="27">
        <v>570000</v>
      </c>
      <c r="D434" s="27">
        <v>0</v>
      </c>
      <c r="E434" s="27">
        <v>0</v>
      </c>
      <c r="F434" s="27">
        <v>0</v>
      </c>
      <c r="G434" s="27">
        <f t="shared" si="11"/>
        <v>570000</v>
      </c>
    </row>
    <row r="435" spans="1:7" x14ac:dyDescent="0.25">
      <c r="A435" s="1">
        <v>14</v>
      </c>
      <c r="B435" s="1" t="s">
        <v>180</v>
      </c>
      <c r="C435" s="27">
        <v>840000</v>
      </c>
      <c r="D435" s="27">
        <v>0</v>
      </c>
      <c r="E435" s="27">
        <v>40000</v>
      </c>
      <c r="F435" s="27">
        <v>0</v>
      </c>
      <c r="G435" s="27">
        <f t="shared" si="11"/>
        <v>880000</v>
      </c>
    </row>
    <row r="436" spans="1:7" x14ac:dyDescent="0.25">
      <c r="A436" s="1">
        <v>15</v>
      </c>
      <c r="B436" s="1" t="s">
        <v>181</v>
      </c>
      <c r="C436" s="27">
        <v>1250000</v>
      </c>
      <c r="D436" s="27">
        <v>20000</v>
      </c>
      <c r="E436" s="27">
        <v>20000</v>
      </c>
      <c r="F436" s="27">
        <v>20000</v>
      </c>
      <c r="G436" s="27">
        <f t="shared" si="11"/>
        <v>1310000</v>
      </c>
    </row>
    <row r="437" spans="1:7" x14ac:dyDescent="0.25">
      <c r="A437" s="1">
        <v>16</v>
      </c>
      <c r="B437" s="1" t="s">
        <v>182</v>
      </c>
      <c r="C437" s="27">
        <v>350000</v>
      </c>
      <c r="D437" s="27">
        <v>0</v>
      </c>
      <c r="E437" s="27">
        <v>15000</v>
      </c>
      <c r="F437" s="27">
        <v>0</v>
      </c>
      <c r="G437" s="27">
        <f t="shared" si="11"/>
        <v>365000</v>
      </c>
    </row>
    <row r="438" spans="1:7" x14ac:dyDescent="0.25">
      <c r="A438" s="1">
        <v>17</v>
      </c>
      <c r="B438" s="1" t="s">
        <v>183</v>
      </c>
      <c r="C438" s="27">
        <v>550000</v>
      </c>
      <c r="D438" s="27">
        <v>0</v>
      </c>
      <c r="E438" s="27">
        <v>0</v>
      </c>
      <c r="F438" s="27">
        <v>0</v>
      </c>
      <c r="G438" s="27">
        <f t="shared" si="11"/>
        <v>550000</v>
      </c>
    </row>
    <row r="439" spans="1:7" x14ac:dyDescent="0.25">
      <c r="A439" s="1">
        <v>18</v>
      </c>
      <c r="B439" s="1" t="s">
        <v>184</v>
      </c>
      <c r="C439" s="27">
        <v>816400</v>
      </c>
      <c r="D439" s="27">
        <v>0</v>
      </c>
      <c r="E439" s="27">
        <v>0</v>
      </c>
      <c r="F439" s="27">
        <v>0</v>
      </c>
      <c r="G439" s="27">
        <f t="shared" si="11"/>
        <v>816400</v>
      </c>
    </row>
    <row r="440" spans="1:7" x14ac:dyDescent="0.25">
      <c r="A440" s="1">
        <v>19</v>
      </c>
      <c r="B440" s="1" t="s">
        <v>185</v>
      </c>
      <c r="C440" s="27">
        <v>500000</v>
      </c>
      <c r="D440" s="27">
        <v>0</v>
      </c>
      <c r="E440" s="27">
        <v>0</v>
      </c>
      <c r="F440" s="27">
        <v>0</v>
      </c>
      <c r="G440" s="27">
        <f t="shared" si="11"/>
        <v>500000</v>
      </c>
    </row>
    <row r="441" spans="1:7" x14ac:dyDescent="0.25">
      <c r="A441" s="1">
        <v>20</v>
      </c>
      <c r="B441" s="1" t="s">
        <v>186</v>
      </c>
      <c r="C441" s="27">
        <v>500000</v>
      </c>
      <c r="D441" s="27">
        <v>0</v>
      </c>
      <c r="E441" s="27">
        <v>0</v>
      </c>
      <c r="F441" s="27">
        <v>0</v>
      </c>
      <c r="G441" s="27">
        <f t="shared" si="11"/>
        <v>500000</v>
      </c>
    </row>
    <row r="442" spans="1:7" x14ac:dyDescent="0.25">
      <c r="A442" s="1">
        <v>21</v>
      </c>
      <c r="B442" s="1" t="s">
        <v>187</v>
      </c>
      <c r="C442" s="27">
        <v>500000</v>
      </c>
      <c r="D442" s="27">
        <v>0</v>
      </c>
      <c r="E442" s="27">
        <v>0</v>
      </c>
      <c r="F442" s="27">
        <v>0</v>
      </c>
      <c r="G442" s="27">
        <f t="shared" si="11"/>
        <v>500000</v>
      </c>
    </row>
    <row r="443" spans="1:7" x14ac:dyDescent="0.25">
      <c r="A443" s="1">
        <v>22</v>
      </c>
      <c r="B443" s="1" t="s">
        <v>188</v>
      </c>
      <c r="C443" s="27">
        <v>450000</v>
      </c>
      <c r="D443" s="27">
        <v>0</v>
      </c>
      <c r="E443" s="27">
        <v>0</v>
      </c>
      <c r="F443" s="27">
        <v>0</v>
      </c>
      <c r="G443" s="27">
        <f t="shared" si="11"/>
        <v>450000</v>
      </c>
    </row>
    <row r="444" spans="1:7" x14ac:dyDescent="0.25">
      <c r="A444" s="1">
        <v>23</v>
      </c>
      <c r="B444" s="1" t="s">
        <v>189</v>
      </c>
      <c r="C444" s="27">
        <v>405000</v>
      </c>
      <c r="D444" s="27">
        <v>0</v>
      </c>
      <c r="E444" s="27">
        <v>0</v>
      </c>
      <c r="F444" s="27">
        <v>0</v>
      </c>
      <c r="G444" s="27">
        <f t="shared" si="11"/>
        <v>405000</v>
      </c>
    </row>
    <row r="445" spans="1:7" x14ac:dyDescent="0.25">
      <c r="A445" s="1">
        <v>24</v>
      </c>
      <c r="B445" s="1" t="s">
        <v>190</v>
      </c>
      <c r="C445" s="27">
        <v>500000</v>
      </c>
      <c r="D445" s="27">
        <v>0</v>
      </c>
      <c r="E445" s="27">
        <v>0</v>
      </c>
      <c r="F445" s="27">
        <v>0</v>
      </c>
      <c r="G445" s="27">
        <f t="shared" si="11"/>
        <v>500000</v>
      </c>
    </row>
    <row r="446" spans="1:7" x14ac:dyDescent="0.25">
      <c r="A446" s="1">
        <v>25</v>
      </c>
      <c r="B446" s="1" t="s">
        <v>191</v>
      </c>
      <c r="C446" s="27">
        <v>679000</v>
      </c>
      <c r="D446" s="27">
        <v>0</v>
      </c>
      <c r="E446" s="27">
        <v>0</v>
      </c>
      <c r="F446" s="27">
        <v>0</v>
      </c>
      <c r="G446" s="27">
        <f t="shared" si="11"/>
        <v>679000</v>
      </c>
    </row>
    <row r="447" spans="1:7" x14ac:dyDescent="0.25">
      <c r="A447" s="1">
        <v>26</v>
      </c>
      <c r="B447" s="1" t="s">
        <v>192</v>
      </c>
      <c r="C447" s="27">
        <v>420000</v>
      </c>
      <c r="D447" s="27">
        <v>0</v>
      </c>
      <c r="E447" s="27">
        <v>0</v>
      </c>
      <c r="F447" s="27">
        <v>0</v>
      </c>
      <c r="G447" s="27">
        <f t="shared" si="11"/>
        <v>420000</v>
      </c>
    </row>
    <row r="448" spans="1:7" x14ac:dyDescent="0.25">
      <c r="A448" s="1">
        <v>27</v>
      </c>
      <c r="B448" s="1" t="s">
        <v>193</v>
      </c>
      <c r="C448" s="27">
        <v>1320000</v>
      </c>
      <c r="D448" s="27">
        <v>0</v>
      </c>
      <c r="E448" s="27">
        <v>60000</v>
      </c>
      <c r="F448" s="27">
        <v>0</v>
      </c>
      <c r="G448" s="27">
        <f t="shared" si="11"/>
        <v>1380000</v>
      </c>
    </row>
    <row r="449" spans="1:7" x14ac:dyDescent="0.25">
      <c r="A449" s="1">
        <v>28</v>
      </c>
      <c r="B449" s="1" t="s">
        <v>195</v>
      </c>
      <c r="C449" s="27">
        <v>1595000</v>
      </c>
      <c r="D449" s="27">
        <v>50000</v>
      </c>
      <c r="E449" s="27">
        <v>0</v>
      </c>
      <c r="F449" s="27">
        <v>0</v>
      </c>
      <c r="G449" s="27">
        <f t="shared" si="11"/>
        <v>1645000</v>
      </c>
    </row>
    <row r="450" spans="1:7" x14ac:dyDescent="0.25">
      <c r="A450" s="1">
        <v>29</v>
      </c>
      <c r="B450" s="1" t="s">
        <v>196</v>
      </c>
      <c r="C450" s="27">
        <v>20000</v>
      </c>
      <c r="D450" s="27">
        <v>0</v>
      </c>
      <c r="E450" s="27">
        <v>15000</v>
      </c>
      <c r="F450" s="27">
        <v>0</v>
      </c>
      <c r="G450" s="27">
        <f t="shared" si="11"/>
        <v>35000</v>
      </c>
    </row>
    <row r="451" spans="1:7" x14ac:dyDescent="0.25">
      <c r="A451" s="1">
        <v>30</v>
      </c>
      <c r="B451" s="1" t="s">
        <v>197</v>
      </c>
      <c r="C451" s="27">
        <v>620000</v>
      </c>
      <c r="D451" s="27">
        <v>0</v>
      </c>
      <c r="E451" s="27">
        <v>0</v>
      </c>
      <c r="F451" s="27">
        <v>0</v>
      </c>
      <c r="G451" s="27">
        <f t="shared" si="11"/>
        <v>620000</v>
      </c>
    </row>
    <row r="452" spans="1:7" x14ac:dyDescent="0.25">
      <c r="A452" s="38">
        <v>31</v>
      </c>
      <c r="B452" s="1" t="s">
        <v>284</v>
      </c>
      <c r="C452" s="27">
        <v>465000</v>
      </c>
      <c r="D452" s="27">
        <v>0</v>
      </c>
      <c r="E452" s="27">
        <v>0</v>
      </c>
      <c r="F452" s="27">
        <v>0</v>
      </c>
      <c r="G452" s="27">
        <f t="shared" si="11"/>
        <v>465000</v>
      </c>
    </row>
    <row r="453" spans="1:7" x14ac:dyDescent="0.25">
      <c r="A453" s="38">
        <v>32</v>
      </c>
      <c r="B453" s="75" t="s">
        <v>238</v>
      </c>
      <c r="C453" s="27">
        <v>150000</v>
      </c>
      <c r="D453" s="27">
        <v>0</v>
      </c>
      <c r="E453" s="27">
        <v>0</v>
      </c>
      <c r="F453" s="27">
        <v>0</v>
      </c>
      <c r="G453" s="27">
        <f t="shared" si="11"/>
        <v>150000</v>
      </c>
    </row>
    <row r="454" spans="1:7" x14ac:dyDescent="0.25">
      <c r="A454" s="38">
        <v>33</v>
      </c>
      <c r="B454" s="1" t="s">
        <v>201</v>
      </c>
      <c r="C454" s="27">
        <v>500000</v>
      </c>
      <c r="D454" s="27">
        <v>100000</v>
      </c>
      <c r="E454" s="27">
        <v>0</v>
      </c>
      <c r="F454" s="27">
        <v>0</v>
      </c>
      <c r="G454" s="27">
        <f t="shared" si="11"/>
        <v>600000</v>
      </c>
    </row>
    <row r="455" spans="1:7" x14ac:dyDescent="0.25">
      <c r="A455" s="38">
        <v>34</v>
      </c>
      <c r="B455" s="1" t="s">
        <v>204</v>
      </c>
      <c r="C455" s="27">
        <v>770058</v>
      </c>
      <c r="D455" s="27">
        <v>0</v>
      </c>
      <c r="E455" s="27">
        <v>0</v>
      </c>
      <c r="F455" s="27">
        <v>0</v>
      </c>
      <c r="G455" s="27">
        <f t="shared" si="11"/>
        <v>770058</v>
      </c>
    </row>
    <row r="456" spans="1:7" x14ac:dyDescent="0.25">
      <c r="A456" s="38">
        <v>35</v>
      </c>
      <c r="B456" s="1" t="s">
        <v>205</v>
      </c>
      <c r="C456" s="27">
        <v>500000</v>
      </c>
      <c r="D456" s="27">
        <v>0</v>
      </c>
      <c r="E456" s="27">
        <v>0</v>
      </c>
      <c r="F456" s="27">
        <v>0</v>
      </c>
      <c r="G456" s="27">
        <f t="shared" si="11"/>
        <v>500000</v>
      </c>
    </row>
    <row r="457" spans="1:7" x14ac:dyDescent="0.25">
      <c r="A457" s="38">
        <v>36</v>
      </c>
      <c r="B457" s="1" t="s">
        <v>208</v>
      </c>
      <c r="C457" s="14">
        <v>830000</v>
      </c>
      <c r="D457" s="14">
        <v>0</v>
      </c>
      <c r="E457" s="14">
        <v>0</v>
      </c>
      <c r="F457" s="14">
        <v>0</v>
      </c>
      <c r="G457" s="14">
        <f t="shared" si="11"/>
        <v>830000</v>
      </c>
    </row>
    <row r="458" spans="1:7" x14ac:dyDescent="0.25">
      <c r="A458" s="38">
        <v>37</v>
      </c>
      <c r="B458" s="1" t="s">
        <v>230</v>
      </c>
      <c r="C458" s="14">
        <v>500000</v>
      </c>
      <c r="D458" s="14">
        <v>50000</v>
      </c>
      <c r="E458" s="14">
        <v>0</v>
      </c>
      <c r="F458" s="14">
        <v>0</v>
      </c>
      <c r="G458" s="14">
        <f t="shared" si="11"/>
        <v>550000</v>
      </c>
    </row>
    <row r="459" spans="1:7" x14ac:dyDescent="0.25">
      <c r="A459" s="38">
        <v>38</v>
      </c>
      <c r="B459" s="38" t="s">
        <v>236</v>
      </c>
      <c r="C459" s="14">
        <v>590000</v>
      </c>
      <c r="D459" s="14">
        <v>20000</v>
      </c>
      <c r="E459" s="14">
        <v>0</v>
      </c>
      <c r="F459" s="14">
        <v>20000</v>
      </c>
      <c r="G459" s="14">
        <f t="shared" si="11"/>
        <v>630000</v>
      </c>
    </row>
    <row r="460" spans="1:7" x14ac:dyDescent="0.25">
      <c r="A460" s="38">
        <v>39</v>
      </c>
      <c r="B460" s="38" t="s">
        <v>285</v>
      </c>
      <c r="C460" s="14">
        <v>500000</v>
      </c>
      <c r="D460" s="14">
        <v>0</v>
      </c>
      <c r="E460" s="14">
        <v>0</v>
      </c>
      <c r="F460" s="14">
        <v>0</v>
      </c>
      <c r="G460" s="14">
        <f t="shared" si="11"/>
        <v>500000</v>
      </c>
    </row>
    <row r="461" spans="1:7" x14ac:dyDescent="0.25">
      <c r="A461" s="38">
        <v>40</v>
      </c>
      <c r="B461" s="1" t="s">
        <v>286</v>
      </c>
      <c r="C461" s="14">
        <v>600000</v>
      </c>
      <c r="D461" s="14">
        <v>10000</v>
      </c>
      <c r="E461" s="14">
        <v>10000</v>
      </c>
      <c r="F461" s="14">
        <v>10000</v>
      </c>
      <c r="G461" s="14">
        <f t="shared" si="11"/>
        <v>630000</v>
      </c>
    </row>
    <row r="462" spans="1:7" x14ac:dyDescent="0.25">
      <c r="A462" s="38">
        <v>41</v>
      </c>
      <c r="B462" s="1" t="s">
        <v>287</v>
      </c>
      <c r="C462" s="14">
        <v>100000</v>
      </c>
      <c r="D462" s="14">
        <v>0</v>
      </c>
      <c r="E462" s="14">
        <v>0</v>
      </c>
      <c r="F462" s="14">
        <v>20000</v>
      </c>
      <c r="G462" s="14">
        <f t="shared" si="11"/>
        <v>120000</v>
      </c>
    </row>
    <row r="463" spans="1:7" x14ac:dyDescent="0.25">
      <c r="A463" s="38">
        <v>42</v>
      </c>
      <c r="B463" s="1" t="s">
        <v>288</v>
      </c>
      <c r="C463" s="14">
        <v>201000</v>
      </c>
      <c r="D463" s="14">
        <v>0</v>
      </c>
      <c r="E463" s="14">
        <v>30000</v>
      </c>
      <c r="F463" s="14">
        <v>0</v>
      </c>
      <c r="G463" s="14">
        <f t="shared" si="11"/>
        <v>231000</v>
      </c>
    </row>
    <row r="464" spans="1:7" x14ac:dyDescent="0.25">
      <c r="A464" s="75">
        <v>43</v>
      </c>
      <c r="B464" s="1" t="s">
        <v>289</v>
      </c>
      <c r="C464" s="14">
        <v>225000</v>
      </c>
      <c r="D464" s="14">
        <v>25000</v>
      </c>
      <c r="E464" s="14">
        <v>0</v>
      </c>
      <c r="F464" s="14">
        <v>0</v>
      </c>
      <c r="G464" s="14">
        <f t="shared" si="11"/>
        <v>250000</v>
      </c>
    </row>
    <row r="465" spans="1:7" x14ac:dyDescent="0.25">
      <c r="A465" s="75">
        <v>44</v>
      </c>
      <c r="B465" s="1" t="s">
        <v>294</v>
      </c>
      <c r="C465" s="14">
        <v>400000</v>
      </c>
      <c r="D465" s="14">
        <v>0</v>
      </c>
      <c r="E465" s="14">
        <v>100000</v>
      </c>
      <c r="F465" s="14">
        <v>0</v>
      </c>
      <c r="G465" s="14">
        <f t="shared" si="11"/>
        <v>500000</v>
      </c>
    </row>
    <row r="466" spans="1:7" x14ac:dyDescent="0.25">
      <c r="A466" s="75">
        <v>45</v>
      </c>
      <c r="B466" s="1" t="s">
        <v>303</v>
      </c>
      <c r="C466" s="14">
        <v>0</v>
      </c>
      <c r="D466" s="14">
        <v>0</v>
      </c>
      <c r="E466" s="14">
        <v>100000</v>
      </c>
      <c r="F466" s="14"/>
      <c r="G466" s="14">
        <f t="shared" si="11"/>
        <v>100000</v>
      </c>
    </row>
    <row r="467" spans="1:7" x14ac:dyDescent="0.25">
      <c r="A467" s="1"/>
      <c r="B467" s="58" t="s">
        <v>138</v>
      </c>
      <c r="C467" s="15">
        <f>SUM(C422:C466)</f>
        <v>25168458</v>
      </c>
      <c r="D467" s="15">
        <f>SUM(D422:D466)</f>
        <v>315000</v>
      </c>
      <c r="E467" s="15">
        <f>SUM(E422:E466)</f>
        <v>490000</v>
      </c>
      <c r="F467" s="15">
        <f>SUM(F422:F466)</f>
        <v>110000</v>
      </c>
      <c r="G467" s="15">
        <f>SUM(G422:G466)</f>
        <v>26083458</v>
      </c>
    </row>
    <row r="469" spans="1:7" ht="18.75" x14ac:dyDescent="0.3">
      <c r="B469" s="5" t="s">
        <v>80</v>
      </c>
    </row>
    <row r="470" spans="1:7" ht="18.75" x14ac:dyDescent="0.3">
      <c r="B470" s="5" t="s">
        <v>64</v>
      </c>
    </row>
    <row r="471" spans="1:7" ht="18.75" x14ac:dyDescent="0.3">
      <c r="B471" s="5" t="s">
        <v>162</v>
      </c>
    </row>
    <row r="472" spans="1:7" ht="18.75" x14ac:dyDescent="0.3">
      <c r="B472" s="5" t="s">
        <v>304</v>
      </c>
    </row>
    <row r="473" spans="1:7" x14ac:dyDescent="0.25">
      <c r="A473" s="3" t="s">
        <v>163</v>
      </c>
      <c r="B473" s="3" t="s">
        <v>164</v>
      </c>
      <c r="C473" s="59" t="s">
        <v>301</v>
      </c>
      <c r="D473" s="53">
        <v>43009</v>
      </c>
      <c r="E473" s="53">
        <v>43040</v>
      </c>
      <c r="F473" s="53">
        <v>43070</v>
      </c>
      <c r="G473" s="3" t="s">
        <v>166</v>
      </c>
    </row>
    <row r="474" spans="1:7" x14ac:dyDescent="0.25">
      <c r="A474" s="1">
        <v>1</v>
      </c>
      <c r="B474" s="1" t="s">
        <v>167</v>
      </c>
      <c r="C474" s="27">
        <v>500000</v>
      </c>
      <c r="D474" s="27">
        <v>0</v>
      </c>
      <c r="E474" s="27">
        <v>0</v>
      </c>
      <c r="F474" s="27">
        <v>0</v>
      </c>
      <c r="G474" s="27">
        <f>SUM(C474:F474)</f>
        <v>500000</v>
      </c>
    </row>
    <row r="475" spans="1:7" x14ac:dyDescent="0.25">
      <c r="A475" s="1">
        <v>2</v>
      </c>
      <c r="B475" s="1" t="s">
        <v>168</v>
      </c>
      <c r="C475" s="27">
        <v>515000</v>
      </c>
      <c r="D475" s="27">
        <v>0</v>
      </c>
      <c r="E475" s="27">
        <v>0</v>
      </c>
      <c r="F475" s="27">
        <v>7000</v>
      </c>
      <c r="G475" s="27">
        <f t="shared" ref="G475:G516" si="12">SUM(C475:F475)</f>
        <v>522000</v>
      </c>
    </row>
    <row r="476" spans="1:7" x14ac:dyDescent="0.25">
      <c r="A476" s="1">
        <v>3</v>
      </c>
      <c r="B476" s="1" t="s">
        <v>169</v>
      </c>
      <c r="C476" s="27">
        <v>860000</v>
      </c>
      <c r="D476" s="27">
        <v>20000</v>
      </c>
      <c r="E476" s="27">
        <v>10000</v>
      </c>
      <c r="F476" s="27">
        <v>10000</v>
      </c>
      <c r="G476" s="27">
        <f t="shared" si="12"/>
        <v>900000</v>
      </c>
    </row>
    <row r="477" spans="1:7" x14ac:dyDescent="0.25">
      <c r="A477" s="1">
        <v>4</v>
      </c>
      <c r="B477" s="1" t="s">
        <v>170</v>
      </c>
      <c r="C477" s="27">
        <v>550000</v>
      </c>
      <c r="D477" s="27">
        <v>0</v>
      </c>
      <c r="E477" s="27">
        <v>0</v>
      </c>
      <c r="F477" s="27">
        <v>0</v>
      </c>
      <c r="G477" s="27">
        <f t="shared" si="12"/>
        <v>550000</v>
      </c>
    </row>
    <row r="478" spans="1:7" x14ac:dyDescent="0.25">
      <c r="A478" s="1">
        <v>5</v>
      </c>
      <c r="B478" s="1" t="s">
        <v>171</v>
      </c>
      <c r="C478" s="27">
        <v>502000</v>
      </c>
      <c r="D478" s="27">
        <v>0</v>
      </c>
      <c r="E478" s="27">
        <v>0</v>
      </c>
      <c r="F478" s="27">
        <v>0</v>
      </c>
      <c r="G478" s="27">
        <f t="shared" si="12"/>
        <v>502000</v>
      </c>
    </row>
    <row r="479" spans="1:7" x14ac:dyDescent="0.25">
      <c r="A479" s="1">
        <v>6</v>
      </c>
      <c r="B479" s="1" t="s">
        <v>174</v>
      </c>
      <c r="C479" s="27">
        <v>1010000</v>
      </c>
      <c r="D479" s="27">
        <v>0</v>
      </c>
      <c r="E479" s="27">
        <f>30000+20000</f>
        <v>50000</v>
      </c>
      <c r="F479" s="27">
        <v>20000</v>
      </c>
      <c r="G479" s="27">
        <f t="shared" si="12"/>
        <v>1080000</v>
      </c>
    </row>
    <row r="480" spans="1:7" x14ac:dyDescent="0.25">
      <c r="A480" s="1">
        <v>7</v>
      </c>
      <c r="B480" s="1" t="s">
        <v>172</v>
      </c>
      <c r="C480" s="27">
        <v>280000</v>
      </c>
      <c r="D480" s="27">
        <v>0</v>
      </c>
      <c r="E480" s="27">
        <v>0</v>
      </c>
      <c r="F480" s="27">
        <v>10000</v>
      </c>
      <c r="G480" s="27">
        <f t="shared" si="12"/>
        <v>290000</v>
      </c>
    </row>
    <row r="481" spans="1:7" x14ac:dyDescent="0.25">
      <c r="A481" s="1">
        <v>8</v>
      </c>
      <c r="B481" s="1" t="s">
        <v>173</v>
      </c>
      <c r="C481" s="27">
        <v>580000</v>
      </c>
      <c r="D481" s="27">
        <v>150000</v>
      </c>
      <c r="E481" s="27">
        <v>0</v>
      </c>
      <c r="F481" s="27">
        <v>0</v>
      </c>
      <c r="G481" s="27">
        <f t="shared" si="12"/>
        <v>730000</v>
      </c>
    </row>
    <row r="482" spans="1:7" x14ac:dyDescent="0.25">
      <c r="A482" s="1">
        <v>9</v>
      </c>
      <c r="B482" s="1" t="s">
        <v>175</v>
      </c>
      <c r="C482" s="27">
        <v>410000</v>
      </c>
      <c r="D482" s="27">
        <v>0</v>
      </c>
      <c r="E482" s="27">
        <v>0</v>
      </c>
      <c r="F482" s="27">
        <v>0</v>
      </c>
      <c r="G482" s="27">
        <f t="shared" si="12"/>
        <v>410000</v>
      </c>
    </row>
    <row r="483" spans="1:7" x14ac:dyDescent="0.25">
      <c r="A483" s="1">
        <v>10</v>
      </c>
      <c r="B483" s="1" t="s">
        <v>176</v>
      </c>
      <c r="C483" s="27">
        <v>455000</v>
      </c>
      <c r="D483" s="27">
        <v>0</v>
      </c>
      <c r="E483" s="27">
        <v>0</v>
      </c>
      <c r="F483" s="27">
        <v>0</v>
      </c>
      <c r="G483" s="27">
        <f t="shared" si="12"/>
        <v>455000</v>
      </c>
    </row>
    <row r="484" spans="1:7" x14ac:dyDescent="0.25">
      <c r="A484" s="1">
        <v>11</v>
      </c>
      <c r="B484" s="1" t="s">
        <v>177</v>
      </c>
      <c r="C484" s="27">
        <v>530000</v>
      </c>
      <c r="D484" s="27">
        <v>0</v>
      </c>
      <c r="E484" s="27">
        <v>0</v>
      </c>
      <c r="F484" s="27">
        <v>0</v>
      </c>
      <c r="G484" s="27">
        <f t="shared" si="12"/>
        <v>530000</v>
      </c>
    </row>
    <row r="485" spans="1:7" x14ac:dyDescent="0.25">
      <c r="A485" s="1">
        <v>12</v>
      </c>
      <c r="B485" s="1" t="s">
        <v>178</v>
      </c>
      <c r="C485" s="27">
        <v>940000</v>
      </c>
      <c r="D485" s="27">
        <v>10000</v>
      </c>
      <c r="E485" s="27">
        <v>10000</v>
      </c>
      <c r="F485" s="27">
        <v>10000</v>
      </c>
      <c r="G485" s="27">
        <f t="shared" si="12"/>
        <v>970000</v>
      </c>
    </row>
    <row r="486" spans="1:7" x14ac:dyDescent="0.25">
      <c r="A486" s="1">
        <v>13</v>
      </c>
      <c r="B486" s="1" t="s">
        <v>179</v>
      </c>
      <c r="C486" s="27">
        <v>570000</v>
      </c>
      <c r="D486" s="27">
        <v>0</v>
      </c>
      <c r="E486" s="27">
        <v>0</v>
      </c>
      <c r="F486" s="27">
        <v>0</v>
      </c>
      <c r="G486" s="27">
        <f t="shared" si="12"/>
        <v>570000</v>
      </c>
    </row>
    <row r="487" spans="1:7" x14ac:dyDescent="0.25">
      <c r="A487" s="1">
        <v>14</v>
      </c>
      <c r="B487" s="1" t="s">
        <v>180</v>
      </c>
      <c r="C487" s="27">
        <v>880000</v>
      </c>
      <c r="D487" s="27">
        <v>0</v>
      </c>
      <c r="E487" s="27">
        <v>0</v>
      </c>
      <c r="F487" s="27">
        <v>100000</v>
      </c>
      <c r="G487" s="27">
        <f t="shared" si="12"/>
        <v>980000</v>
      </c>
    </row>
    <row r="488" spans="1:7" x14ac:dyDescent="0.25">
      <c r="A488" s="1">
        <v>15</v>
      </c>
      <c r="B488" s="1" t="s">
        <v>181</v>
      </c>
      <c r="C488" s="27">
        <v>1310000</v>
      </c>
      <c r="D488" s="27">
        <v>20000</v>
      </c>
      <c r="E488" s="27">
        <v>20000</v>
      </c>
      <c r="F488" s="27">
        <v>20000</v>
      </c>
      <c r="G488" s="27">
        <f t="shared" si="12"/>
        <v>1370000</v>
      </c>
    </row>
    <row r="489" spans="1:7" x14ac:dyDescent="0.25">
      <c r="A489" s="1">
        <v>16</v>
      </c>
      <c r="B489" s="1" t="s">
        <v>182</v>
      </c>
      <c r="C489" s="27">
        <v>365000</v>
      </c>
      <c r="D489" s="27">
        <v>0</v>
      </c>
      <c r="E489" s="27">
        <v>0</v>
      </c>
      <c r="F489" s="27">
        <v>0</v>
      </c>
      <c r="G489" s="27">
        <f t="shared" si="12"/>
        <v>365000</v>
      </c>
    </row>
    <row r="490" spans="1:7" x14ac:dyDescent="0.25">
      <c r="A490" s="1">
        <v>17</v>
      </c>
      <c r="B490" s="1" t="s">
        <v>183</v>
      </c>
      <c r="C490" s="27">
        <v>550000</v>
      </c>
      <c r="D490" s="27">
        <v>0</v>
      </c>
      <c r="E490" s="27">
        <v>0</v>
      </c>
      <c r="F490" s="27">
        <v>0</v>
      </c>
      <c r="G490" s="27">
        <f t="shared" si="12"/>
        <v>550000</v>
      </c>
    </row>
    <row r="491" spans="1:7" x14ac:dyDescent="0.25">
      <c r="A491" s="1">
        <v>18</v>
      </c>
      <c r="B491" s="1" t="s">
        <v>184</v>
      </c>
      <c r="C491" s="27">
        <v>816400</v>
      </c>
      <c r="D491" s="27">
        <v>0</v>
      </c>
      <c r="E491" s="27">
        <v>0</v>
      </c>
      <c r="F491" s="27">
        <v>0</v>
      </c>
      <c r="G491" s="27">
        <f t="shared" si="12"/>
        <v>816400</v>
      </c>
    </row>
    <row r="492" spans="1:7" x14ac:dyDescent="0.25">
      <c r="A492" s="1">
        <v>19</v>
      </c>
      <c r="B492" s="1" t="s">
        <v>185</v>
      </c>
      <c r="C492" s="27">
        <v>500000</v>
      </c>
      <c r="D492" s="27">
        <v>0</v>
      </c>
      <c r="E492" s="27">
        <v>0</v>
      </c>
      <c r="F492" s="27">
        <v>0</v>
      </c>
      <c r="G492" s="27">
        <f t="shared" si="12"/>
        <v>500000</v>
      </c>
    </row>
    <row r="493" spans="1:7" x14ac:dyDescent="0.25">
      <c r="A493" s="1">
        <v>20</v>
      </c>
      <c r="B493" s="1" t="s">
        <v>186</v>
      </c>
      <c r="C493" s="27">
        <v>500000</v>
      </c>
      <c r="D493" s="27">
        <v>0</v>
      </c>
      <c r="E493" s="27">
        <v>0</v>
      </c>
      <c r="F493" s="27">
        <v>0</v>
      </c>
      <c r="G493" s="27">
        <f t="shared" si="12"/>
        <v>500000</v>
      </c>
    </row>
    <row r="494" spans="1:7" x14ac:dyDescent="0.25">
      <c r="A494" s="1">
        <v>21</v>
      </c>
      <c r="B494" s="1" t="s">
        <v>187</v>
      </c>
      <c r="C494" s="27">
        <v>500000</v>
      </c>
      <c r="D494" s="27">
        <v>0</v>
      </c>
      <c r="E494" s="27">
        <v>0</v>
      </c>
      <c r="F494" s="27">
        <v>0</v>
      </c>
      <c r="G494" s="27">
        <f t="shared" si="12"/>
        <v>500000</v>
      </c>
    </row>
    <row r="495" spans="1:7" x14ac:dyDescent="0.25">
      <c r="A495" s="1">
        <v>22</v>
      </c>
      <c r="B495" s="1" t="s">
        <v>188</v>
      </c>
      <c r="C495" s="27">
        <v>450000</v>
      </c>
      <c r="D495" s="27">
        <v>0</v>
      </c>
      <c r="E495" s="27">
        <v>0</v>
      </c>
      <c r="F495" s="27">
        <v>0</v>
      </c>
      <c r="G495" s="27">
        <f t="shared" si="12"/>
        <v>450000</v>
      </c>
    </row>
    <row r="496" spans="1:7" x14ac:dyDescent="0.25">
      <c r="A496" s="1">
        <v>23</v>
      </c>
      <c r="B496" s="1" t="s">
        <v>189</v>
      </c>
      <c r="C496" s="27">
        <v>405000</v>
      </c>
      <c r="D496" s="27">
        <v>0</v>
      </c>
      <c r="E496" s="27">
        <v>10000</v>
      </c>
      <c r="F496" s="27">
        <v>0</v>
      </c>
      <c r="G496" s="27">
        <f t="shared" si="12"/>
        <v>415000</v>
      </c>
    </row>
    <row r="497" spans="1:7" x14ac:dyDescent="0.25">
      <c r="A497" s="1">
        <v>24</v>
      </c>
      <c r="B497" s="1" t="s">
        <v>190</v>
      </c>
      <c r="C497" s="27">
        <v>500000</v>
      </c>
      <c r="D497" s="27">
        <v>0</v>
      </c>
      <c r="E497" s="27">
        <v>0</v>
      </c>
      <c r="F497" s="27">
        <v>100000</v>
      </c>
      <c r="G497" s="27">
        <f t="shared" si="12"/>
        <v>600000</v>
      </c>
    </row>
    <row r="498" spans="1:7" x14ac:dyDescent="0.25">
      <c r="A498" s="1">
        <v>25</v>
      </c>
      <c r="B498" s="1" t="s">
        <v>191</v>
      </c>
      <c r="C498" s="27">
        <v>679000</v>
      </c>
      <c r="D498" s="27">
        <v>0</v>
      </c>
      <c r="E498" s="27">
        <v>0</v>
      </c>
      <c r="F498" s="27">
        <v>0</v>
      </c>
      <c r="G498" s="27">
        <f t="shared" si="12"/>
        <v>679000</v>
      </c>
    </row>
    <row r="499" spans="1:7" x14ac:dyDescent="0.25">
      <c r="A499" s="1">
        <v>26</v>
      </c>
      <c r="B499" s="1" t="s">
        <v>192</v>
      </c>
      <c r="C499" s="27">
        <v>420000</v>
      </c>
      <c r="D499" s="27">
        <v>0</v>
      </c>
      <c r="E499" s="27">
        <v>0</v>
      </c>
      <c r="F499" s="27">
        <v>0</v>
      </c>
      <c r="G499" s="27">
        <f t="shared" si="12"/>
        <v>420000</v>
      </c>
    </row>
    <row r="500" spans="1:7" x14ac:dyDescent="0.25">
      <c r="A500" s="1">
        <v>27</v>
      </c>
      <c r="B500" s="1" t="s">
        <v>193</v>
      </c>
      <c r="C500" s="27">
        <v>1380000</v>
      </c>
      <c r="D500" s="27">
        <v>0</v>
      </c>
      <c r="E500" s="27">
        <v>0</v>
      </c>
      <c r="F500" s="27">
        <v>100000</v>
      </c>
      <c r="G500" s="27">
        <f t="shared" si="12"/>
        <v>1480000</v>
      </c>
    </row>
    <row r="501" spans="1:7" x14ac:dyDescent="0.25">
      <c r="A501" s="1">
        <v>28</v>
      </c>
      <c r="B501" s="1" t="s">
        <v>195</v>
      </c>
      <c r="C501" s="27">
        <v>1645000</v>
      </c>
      <c r="D501" s="27">
        <v>0</v>
      </c>
      <c r="E501" s="27">
        <v>50000</v>
      </c>
      <c r="F501" s="27">
        <v>0</v>
      </c>
      <c r="G501" s="27">
        <f t="shared" si="12"/>
        <v>1695000</v>
      </c>
    </row>
    <row r="502" spans="1:7" x14ac:dyDescent="0.25">
      <c r="A502" s="1">
        <v>29</v>
      </c>
      <c r="B502" s="1" t="s">
        <v>196</v>
      </c>
      <c r="C502" s="27">
        <v>35000</v>
      </c>
      <c r="D502" s="27">
        <v>5000</v>
      </c>
      <c r="E502" s="27">
        <v>10000</v>
      </c>
      <c r="F502" s="27">
        <v>50000</v>
      </c>
      <c r="G502" s="27">
        <f t="shared" si="12"/>
        <v>100000</v>
      </c>
    </row>
    <row r="503" spans="1:7" x14ac:dyDescent="0.25">
      <c r="A503" s="1">
        <v>30</v>
      </c>
      <c r="B503" s="1" t="s">
        <v>197</v>
      </c>
      <c r="C503" s="27">
        <v>620000</v>
      </c>
      <c r="D503" s="27">
        <v>0</v>
      </c>
      <c r="E503" s="27">
        <v>0</v>
      </c>
      <c r="F503" s="27">
        <v>0</v>
      </c>
      <c r="G503" s="27">
        <f t="shared" si="12"/>
        <v>620000</v>
      </c>
    </row>
    <row r="504" spans="1:7" x14ac:dyDescent="0.25">
      <c r="A504" s="38">
        <v>31</v>
      </c>
      <c r="B504" s="1" t="s">
        <v>308</v>
      </c>
      <c r="C504" s="27">
        <v>465000</v>
      </c>
      <c r="D504" s="27">
        <v>0</v>
      </c>
      <c r="E504" s="27">
        <v>10000</v>
      </c>
      <c r="F504" s="27">
        <v>0</v>
      </c>
      <c r="G504" s="27">
        <f t="shared" si="12"/>
        <v>475000</v>
      </c>
    </row>
    <row r="505" spans="1:7" x14ac:dyDescent="0.25">
      <c r="A505" s="38">
        <v>32</v>
      </c>
      <c r="B505" s="75" t="s">
        <v>238</v>
      </c>
      <c r="C505" s="27">
        <v>150000</v>
      </c>
      <c r="D505" s="27">
        <v>-150000</v>
      </c>
      <c r="E505" s="27">
        <v>0</v>
      </c>
      <c r="F505" s="27">
        <v>0</v>
      </c>
      <c r="G505" s="27">
        <f t="shared" si="12"/>
        <v>0</v>
      </c>
    </row>
    <row r="506" spans="1:7" x14ac:dyDescent="0.25">
      <c r="A506" s="38">
        <v>33</v>
      </c>
      <c r="B506" s="1" t="s">
        <v>201</v>
      </c>
      <c r="C506" s="27">
        <v>600000</v>
      </c>
      <c r="D506" s="27">
        <v>0</v>
      </c>
      <c r="E506" s="27">
        <v>0</v>
      </c>
      <c r="F506" s="27">
        <v>0</v>
      </c>
      <c r="G506" s="27">
        <f t="shared" si="12"/>
        <v>600000</v>
      </c>
    </row>
    <row r="507" spans="1:7" x14ac:dyDescent="0.25">
      <c r="A507" s="38">
        <v>34</v>
      </c>
      <c r="B507" s="1" t="s">
        <v>204</v>
      </c>
      <c r="C507" s="27">
        <v>770058</v>
      </c>
      <c r="D507" s="27">
        <v>0</v>
      </c>
      <c r="E507" s="27">
        <v>0</v>
      </c>
      <c r="F507" s="27">
        <v>50000</v>
      </c>
      <c r="G507" s="27">
        <f t="shared" si="12"/>
        <v>820058</v>
      </c>
    </row>
    <row r="508" spans="1:7" x14ac:dyDescent="0.25">
      <c r="A508" s="38">
        <v>35</v>
      </c>
      <c r="B508" s="1" t="s">
        <v>205</v>
      </c>
      <c r="C508" s="27">
        <v>500000</v>
      </c>
      <c r="D508" s="27">
        <v>0</v>
      </c>
      <c r="E508" s="27">
        <v>0</v>
      </c>
      <c r="F508" s="27">
        <v>0</v>
      </c>
      <c r="G508" s="27">
        <f t="shared" si="12"/>
        <v>500000</v>
      </c>
    </row>
    <row r="509" spans="1:7" x14ac:dyDescent="0.25">
      <c r="A509" s="38">
        <v>36</v>
      </c>
      <c r="B509" s="1" t="s">
        <v>208</v>
      </c>
      <c r="C509" s="14">
        <v>830000</v>
      </c>
      <c r="D509" s="14">
        <v>20000</v>
      </c>
      <c r="E509" s="14">
        <v>20000</v>
      </c>
      <c r="F509" s="14">
        <v>20000</v>
      </c>
      <c r="G509" s="14">
        <f t="shared" si="12"/>
        <v>890000</v>
      </c>
    </row>
    <row r="510" spans="1:7" x14ac:dyDescent="0.25">
      <c r="A510" s="38">
        <v>37</v>
      </c>
      <c r="B510" s="1" t="s">
        <v>230</v>
      </c>
      <c r="C510" s="14">
        <v>550000</v>
      </c>
      <c r="D510" s="14">
        <v>0</v>
      </c>
      <c r="E510" s="14">
        <v>0</v>
      </c>
      <c r="F510" s="14">
        <v>0</v>
      </c>
      <c r="G510" s="14">
        <f t="shared" si="12"/>
        <v>550000</v>
      </c>
    </row>
    <row r="511" spans="1:7" x14ac:dyDescent="0.25">
      <c r="A511" s="38">
        <v>38</v>
      </c>
      <c r="B511" s="38" t="s">
        <v>236</v>
      </c>
      <c r="C511" s="14">
        <v>630000</v>
      </c>
      <c r="D511" s="14">
        <v>10000</v>
      </c>
      <c r="E511" s="14">
        <v>10000</v>
      </c>
      <c r="F511" s="14">
        <v>10000</v>
      </c>
      <c r="G511" s="14">
        <f t="shared" si="12"/>
        <v>660000</v>
      </c>
    </row>
    <row r="512" spans="1:7" x14ac:dyDescent="0.25">
      <c r="A512" s="38">
        <v>39</v>
      </c>
      <c r="B512" s="38" t="s">
        <v>285</v>
      </c>
      <c r="C512" s="14">
        <v>500000</v>
      </c>
      <c r="D512" s="14">
        <v>0</v>
      </c>
      <c r="E512" s="14">
        <v>0</v>
      </c>
      <c r="F512" s="14">
        <v>0</v>
      </c>
      <c r="G512" s="14">
        <f t="shared" si="12"/>
        <v>500000</v>
      </c>
    </row>
    <row r="513" spans="1:7" x14ac:dyDescent="0.25">
      <c r="A513" s="38">
        <v>40</v>
      </c>
      <c r="B513" s="1" t="s">
        <v>286</v>
      </c>
      <c r="C513" s="14">
        <v>630000</v>
      </c>
      <c r="D513" s="14">
        <v>10000</v>
      </c>
      <c r="E513" s="14">
        <v>10000</v>
      </c>
      <c r="F513" s="14">
        <v>10000</v>
      </c>
      <c r="G513" s="14">
        <f t="shared" si="12"/>
        <v>660000</v>
      </c>
    </row>
    <row r="514" spans="1:7" x14ac:dyDescent="0.25">
      <c r="A514" s="38">
        <v>41</v>
      </c>
      <c r="B514" s="1" t="s">
        <v>287</v>
      </c>
      <c r="C514" s="14">
        <v>120000</v>
      </c>
      <c r="D514" s="14">
        <v>0</v>
      </c>
      <c r="E514" s="14">
        <v>0</v>
      </c>
      <c r="F514" s="14">
        <v>0</v>
      </c>
      <c r="G514" s="14">
        <f t="shared" si="12"/>
        <v>120000</v>
      </c>
    </row>
    <row r="515" spans="1:7" x14ac:dyDescent="0.25">
      <c r="A515" s="38">
        <v>42</v>
      </c>
      <c r="B515" s="1" t="s">
        <v>288</v>
      </c>
      <c r="C515" s="14">
        <v>231000</v>
      </c>
      <c r="D515" s="14">
        <v>0</v>
      </c>
      <c r="E515" s="14">
        <v>50000</v>
      </c>
      <c r="F515" s="14">
        <v>40000</v>
      </c>
      <c r="G515" s="14">
        <f t="shared" si="12"/>
        <v>321000</v>
      </c>
    </row>
    <row r="516" spans="1:7" x14ac:dyDescent="0.25">
      <c r="A516" s="75">
        <v>43</v>
      </c>
      <c r="B516" s="92" t="s">
        <v>289</v>
      </c>
      <c r="C516" s="93">
        <v>250000</v>
      </c>
      <c r="D516" s="93">
        <v>0</v>
      </c>
      <c r="E516" s="93">
        <v>0</v>
      </c>
      <c r="F516" s="93">
        <v>50000</v>
      </c>
      <c r="G516" s="93">
        <f t="shared" si="12"/>
        <v>300000</v>
      </c>
    </row>
    <row r="517" spans="1:7" x14ac:dyDescent="0.25">
      <c r="A517" s="38">
        <v>44</v>
      </c>
      <c r="B517" s="1" t="s">
        <v>294</v>
      </c>
      <c r="C517" s="14">
        <v>500000</v>
      </c>
      <c r="D517" s="14">
        <v>0</v>
      </c>
      <c r="E517" s="14">
        <v>0</v>
      </c>
      <c r="F517" s="14">
        <v>0</v>
      </c>
      <c r="G517" s="14">
        <f>SUM(C517:F517)</f>
        <v>500000</v>
      </c>
    </row>
    <row r="518" spans="1:7" x14ac:dyDescent="0.25">
      <c r="A518" s="38">
        <v>45</v>
      </c>
      <c r="B518" s="1" t="s">
        <v>303</v>
      </c>
      <c r="C518" s="14">
        <v>100000</v>
      </c>
      <c r="D518" s="1"/>
      <c r="E518" s="1"/>
      <c r="F518" s="1"/>
      <c r="G518" s="14">
        <f>SUM(C518:F518)</f>
        <v>100000</v>
      </c>
    </row>
    <row r="519" spans="1:7" x14ac:dyDescent="0.25">
      <c r="A519" s="1"/>
      <c r="B519" s="58" t="s">
        <v>138</v>
      </c>
      <c r="C519" s="15">
        <f>SUM(C474:C518)</f>
        <v>26083458</v>
      </c>
      <c r="D519" s="15">
        <f>SUM(D474:D518)</f>
        <v>95000</v>
      </c>
      <c r="E519" s="15">
        <f>SUM(E474:E518)</f>
        <v>260000</v>
      </c>
      <c r="F519" s="15">
        <f>SUM(F474:F518)</f>
        <v>607000</v>
      </c>
      <c r="G519" s="15">
        <f>SUM(G474:G518)</f>
        <v>27045458</v>
      </c>
    </row>
  </sheetData>
  <pageMargins left="0.7" right="0.7" top="0.75" bottom="0.75" header="0.3" footer="0.3"/>
  <pageSetup paperSize="9" scale="9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0"/>
  <sheetViews>
    <sheetView topLeftCell="A106" workbookViewId="0">
      <selection activeCell="F87" sqref="F87"/>
    </sheetView>
  </sheetViews>
  <sheetFormatPr defaultRowHeight="15" x14ac:dyDescent="0.25"/>
  <cols>
    <col min="1" max="1" width="5.85546875" customWidth="1"/>
    <col min="2" max="2" width="32.85546875" customWidth="1"/>
    <col min="3" max="3" width="13.85546875" customWidth="1"/>
    <col min="4" max="4" width="11.42578125" customWidth="1"/>
    <col min="5" max="5" width="12.42578125" customWidth="1"/>
    <col min="6" max="6" width="12" customWidth="1"/>
    <col min="7" max="7" width="11.7109375" customWidth="1"/>
    <col min="8" max="8" width="10.7109375" customWidth="1"/>
    <col min="9" max="9" width="9.7109375" customWidth="1"/>
    <col min="10" max="10" width="12.7109375" customWidth="1"/>
  </cols>
  <sheetData>
    <row r="1" spans="1:10" ht="18.75" x14ac:dyDescent="0.3">
      <c r="B1" s="5" t="s">
        <v>80</v>
      </c>
      <c r="C1" s="5"/>
      <c r="D1" s="12"/>
    </row>
    <row r="2" spans="1:10" ht="18.75" x14ac:dyDescent="0.3">
      <c r="B2" s="5" t="s">
        <v>64</v>
      </c>
      <c r="C2" s="5"/>
      <c r="D2" s="12"/>
    </row>
    <row r="3" spans="1:10" ht="18.75" x14ac:dyDescent="0.3">
      <c r="B3" s="5" t="s">
        <v>214</v>
      </c>
      <c r="C3" s="5"/>
      <c r="D3" s="12"/>
    </row>
    <row r="4" spans="1:10" ht="15.75" x14ac:dyDescent="0.25">
      <c r="A4" s="1" t="s">
        <v>21</v>
      </c>
      <c r="B4" s="8" t="s">
        <v>6</v>
      </c>
      <c r="C4" s="8" t="s">
        <v>215</v>
      </c>
      <c r="D4" s="13">
        <v>42370</v>
      </c>
      <c r="E4" s="13">
        <v>42401</v>
      </c>
      <c r="F4" s="13">
        <v>42430</v>
      </c>
      <c r="G4" s="13">
        <v>42461</v>
      </c>
      <c r="H4" s="13">
        <v>42491</v>
      </c>
      <c r="I4" s="13">
        <v>42522</v>
      </c>
      <c r="J4" s="1" t="s">
        <v>81</v>
      </c>
    </row>
    <row r="5" spans="1:10" x14ac:dyDescent="0.25">
      <c r="A5" s="1">
        <v>1</v>
      </c>
      <c r="B5" s="1" t="s">
        <v>83</v>
      </c>
      <c r="C5" s="14">
        <v>16100</v>
      </c>
      <c r="D5" s="14">
        <v>0</v>
      </c>
      <c r="E5" s="1">
        <v>0</v>
      </c>
      <c r="F5" s="1">
        <v>0</v>
      </c>
      <c r="G5" s="14">
        <v>0</v>
      </c>
      <c r="H5" s="27">
        <v>0</v>
      </c>
      <c r="I5" s="27">
        <v>0</v>
      </c>
      <c r="J5" s="14">
        <f t="shared" ref="J5:J32" si="0">SUM(C5:I5)</f>
        <v>16100</v>
      </c>
    </row>
    <row r="6" spans="1:10" ht="15.75" x14ac:dyDescent="0.25">
      <c r="A6" s="1">
        <v>2</v>
      </c>
      <c r="B6" s="17" t="s">
        <v>95</v>
      </c>
      <c r="C6" s="68">
        <v>847900</v>
      </c>
      <c r="D6" s="14">
        <v>0</v>
      </c>
      <c r="E6" s="1">
        <v>0</v>
      </c>
      <c r="F6" s="1">
        <v>0</v>
      </c>
      <c r="G6" s="14">
        <v>0</v>
      </c>
      <c r="H6" s="27">
        <v>0</v>
      </c>
      <c r="I6" s="27">
        <v>0</v>
      </c>
      <c r="J6" s="14">
        <f t="shared" si="0"/>
        <v>847900</v>
      </c>
    </row>
    <row r="7" spans="1:10" x14ac:dyDescent="0.25">
      <c r="A7" s="1">
        <v>3</v>
      </c>
      <c r="B7" s="1" t="s">
        <v>82</v>
      </c>
      <c r="C7" s="14">
        <v>103540</v>
      </c>
      <c r="D7" s="14">
        <v>0</v>
      </c>
      <c r="E7" s="1">
        <v>0</v>
      </c>
      <c r="F7" s="1">
        <v>0</v>
      </c>
      <c r="G7" s="14">
        <v>0</v>
      </c>
      <c r="H7" s="27">
        <v>0</v>
      </c>
      <c r="I7" s="27">
        <v>0</v>
      </c>
      <c r="J7" s="14">
        <f t="shared" si="0"/>
        <v>103540</v>
      </c>
    </row>
    <row r="8" spans="1:10" x14ac:dyDescent="0.25">
      <c r="A8" s="1">
        <v>4</v>
      </c>
      <c r="B8" s="1" t="s">
        <v>107</v>
      </c>
      <c r="C8" s="14">
        <v>320120</v>
      </c>
      <c r="D8" s="14">
        <v>0</v>
      </c>
      <c r="E8" s="1">
        <v>0</v>
      </c>
      <c r="F8" s="1">
        <v>0</v>
      </c>
      <c r="G8" s="14">
        <v>0</v>
      </c>
      <c r="H8" s="27">
        <v>0</v>
      </c>
      <c r="I8" s="27">
        <v>0</v>
      </c>
      <c r="J8" s="14">
        <f t="shared" si="0"/>
        <v>320120</v>
      </c>
    </row>
    <row r="9" spans="1:10" x14ac:dyDescent="0.25">
      <c r="A9" s="1"/>
      <c r="B9" s="1" t="s">
        <v>123</v>
      </c>
      <c r="C9" s="14">
        <v>541500</v>
      </c>
      <c r="D9" s="14">
        <v>20000</v>
      </c>
      <c r="E9" s="1">
        <v>0</v>
      </c>
      <c r="F9" s="1">
        <v>0</v>
      </c>
      <c r="G9" s="14">
        <v>0</v>
      </c>
      <c r="H9" s="27">
        <v>0</v>
      </c>
      <c r="I9" s="27">
        <v>0</v>
      </c>
      <c r="J9" s="14">
        <f t="shared" si="0"/>
        <v>561500</v>
      </c>
    </row>
    <row r="10" spans="1:10" x14ac:dyDescent="0.25">
      <c r="A10" s="1">
        <v>5</v>
      </c>
      <c r="B10" s="1" t="s">
        <v>84</v>
      </c>
      <c r="C10" s="14">
        <v>140858</v>
      </c>
      <c r="D10" s="14">
        <v>0</v>
      </c>
      <c r="E10" s="1">
        <v>0</v>
      </c>
      <c r="F10" s="1">
        <v>0</v>
      </c>
      <c r="G10" s="14">
        <v>0</v>
      </c>
      <c r="H10" s="27">
        <v>0</v>
      </c>
      <c r="I10" s="27">
        <v>0</v>
      </c>
      <c r="J10" s="14">
        <f t="shared" si="0"/>
        <v>140858</v>
      </c>
    </row>
    <row r="11" spans="1:10" x14ac:dyDescent="0.25">
      <c r="A11" s="1">
        <v>6</v>
      </c>
      <c r="B11" s="1" t="s">
        <v>109</v>
      </c>
      <c r="C11" s="14">
        <v>4500970</v>
      </c>
      <c r="D11" s="14">
        <v>269460</v>
      </c>
      <c r="E11" s="1">
        <v>307370</v>
      </c>
      <c r="F11" s="1">
        <v>309120</v>
      </c>
      <c r="G11" s="14">
        <v>83765</v>
      </c>
      <c r="H11" s="27">
        <v>335370</v>
      </c>
      <c r="I11" s="27">
        <v>0</v>
      </c>
      <c r="J11" s="14">
        <f t="shared" si="0"/>
        <v>5806055</v>
      </c>
    </row>
    <row r="12" spans="1:10" x14ac:dyDescent="0.25">
      <c r="A12" s="1">
        <v>7</v>
      </c>
      <c r="B12" s="1" t="s">
        <v>37</v>
      </c>
      <c r="C12" s="14">
        <v>1762685</v>
      </c>
      <c r="D12" s="14">
        <v>15920</v>
      </c>
      <c r="E12" s="1">
        <v>197400</v>
      </c>
      <c r="F12" s="1">
        <v>23400</v>
      </c>
      <c r="G12" s="14">
        <v>115500</v>
      </c>
      <c r="H12" s="27">
        <v>60000</v>
      </c>
      <c r="I12" s="27">
        <v>42900</v>
      </c>
      <c r="J12" s="14">
        <f t="shared" si="0"/>
        <v>2217805</v>
      </c>
    </row>
    <row r="13" spans="1:10" x14ac:dyDescent="0.25">
      <c r="A13" s="1">
        <v>8</v>
      </c>
      <c r="B13" s="1" t="s">
        <v>111</v>
      </c>
      <c r="C13" s="14">
        <v>2181139</v>
      </c>
      <c r="D13" s="14">
        <v>58780</v>
      </c>
      <c r="E13" s="1">
        <v>241957</v>
      </c>
      <c r="F13" s="1">
        <v>108730</v>
      </c>
      <c r="G13" s="14">
        <v>98610</v>
      </c>
      <c r="H13" s="27">
        <v>0</v>
      </c>
      <c r="I13" s="27">
        <v>101452</v>
      </c>
      <c r="J13" s="14">
        <f t="shared" si="0"/>
        <v>2790668</v>
      </c>
    </row>
    <row r="14" spans="1:10" x14ac:dyDescent="0.25">
      <c r="A14" s="1">
        <v>9</v>
      </c>
      <c r="B14" s="1" t="s">
        <v>96</v>
      </c>
      <c r="C14" s="14">
        <v>356750</v>
      </c>
      <c r="D14" s="14"/>
      <c r="E14" s="1"/>
      <c r="F14" s="1">
        <v>37600</v>
      </c>
      <c r="G14" s="14">
        <v>51000</v>
      </c>
      <c r="H14" s="27">
        <v>0</v>
      </c>
      <c r="I14" s="27">
        <v>19500</v>
      </c>
      <c r="J14" s="14">
        <f t="shared" si="0"/>
        <v>464850</v>
      </c>
    </row>
    <row r="15" spans="1:10" x14ac:dyDescent="0.25">
      <c r="A15" s="1">
        <v>10</v>
      </c>
      <c r="B15" s="1" t="s">
        <v>217</v>
      </c>
      <c r="C15" s="14">
        <v>401480</v>
      </c>
      <c r="D15" s="14">
        <v>20100</v>
      </c>
      <c r="E15" s="1">
        <v>3250</v>
      </c>
      <c r="F15" s="1">
        <v>0</v>
      </c>
      <c r="G15" s="14">
        <v>7600</v>
      </c>
      <c r="H15" s="27">
        <v>0</v>
      </c>
      <c r="I15" s="27">
        <v>5550</v>
      </c>
      <c r="J15" s="14">
        <f t="shared" si="0"/>
        <v>437980</v>
      </c>
    </row>
    <row r="16" spans="1:10" x14ac:dyDescent="0.25">
      <c r="A16" s="1">
        <v>11</v>
      </c>
      <c r="B16" s="1" t="s">
        <v>86</v>
      </c>
      <c r="C16" s="14">
        <v>192980</v>
      </c>
      <c r="D16" s="14">
        <v>0</v>
      </c>
      <c r="E16" s="1">
        <v>0</v>
      </c>
      <c r="F16" s="1">
        <v>0</v>
      </c>
      <c r="G16" s="14"/>
      <c r="H16" s="27">
        <v>0</v>
      </c>
      <c r="I16" s="27">
        <v>0</v>
      </c>
      <c r="J16" s="14">
        <f t="shared" si="0"/>
        <v>192980</v>
      </c>
    </row>
    <row r="17" spans="1:10" x14ac:dyDescent="0.25">
      <c r="A17" s="1"/>
      <c r="B17" s="1" t="s">
        <v>108</v>
      </c>
      <c r="C17" s="14">
        <v>60754</v>
      </c>
      <c r="D17" s="14">
        <v>2600</v>
      </c>
      <c r="E17" s="1">
        <v>0</v>
      </c>
      <c r="F17" s="1">
        <v>5200</v>
      </c>
      <c r="G17" s="14"/>
      <c r="H17" s="27">
        <v>5200</v>
      </c>
      <c r="I17" s="27">
        <v>0</v>
      </c>
      <c r="J17" s="14">
        <f t="shared" si="0"/>
        <v>73754</v>
      </c>
    </row>
    <row r="18" spans="1:10" x14ac:dyDescent="0.25">
      <c r="A18" s="1"/>
      <c r="B18" s="1" t="s">
        <v>119</v>
      </c>
      <c r="C18" s="14">
        <v>80328</v>
      </c>
      <c r="D18" s="14">
        <v>4551</v>
      </c>
      <c r="E18" s="1">
        <v>5087</v>
      </c>
      <c r="F18" s="1">
        <v>4427</v>
      </c>
      <c r="G18" s="14">
        <f>13859+5436</f>
        <v>19295</v>
      </c>
      <c r="H18" s="27">
        <v>5107</v>
      </c>
      <c r="I18" s="27">
        <v>3625</v>
      </c>
      <c r="J18" s="14">
        <f t="shared" si="0"/>
        <v>122420</v>
      </c>
    </row>
    <row r="19" spans="1:10" x14ac:dyDescent="0.25">
      <c r="A19" s="1">
        <v>12</v>
      </c>
      <c r="B19" s="1" t="s">
        <v>87</v>
      </c>
      <c r="C19" s="14">
        <v>605725</v>
      </c>
      <c r="D19" s="14"/>
      <c r="E19" s="1"/>
      <c r="F19" s="1">
        <v>0</v>
      </c>
      <c r="G19" s="14"/>
      <c r="H19" s="27">
        <v>0</v>
      </c>
      <c r="I19" s="27">
        <v>0</v>
      </c>
      <c r="J19" s="14">
        <f t="shared" si="0"/>
        <v>605725</v>
      </c>
    </row>
    <row r="20" spans="1:10" x14ac:dyDescent="0.25">
      <c r="A20" s="1">
        <v>13</v>
      </c>
      <c r="B20" s="1" t="s">
        <v>88</v>
      </c>
      <c r="C20" s="14">
        <v>150119</v>
      </c>
      <c r="D20" s="14"/>
      <c r="E20" s="1"/>
      <c r="F20" s="1">
        <v>0</v>
      </c>
      <c r="G20" s="14">
        <v>7990</v>
      </c>
      <c r="H20" s="27">
        <v>0</v>
      </c>
      <c r="I20" s="27">
        <v>0</v>
      </c>
      <c r="J20" s="14">
        <f t="shared" si="0"/>
        <v>158109</v>
      </c>
    </row>
    <row r="21" spans="1:10" x14ac:dyDescent="0.25">
      <c r="A21" s="1">
        <v>14</v>
      </c>
      <c r="B21" s="1" t="s">
        <v>89</v>
      </c>
      <c r="C21" s="14">
        <v>100051</v>
      </c>
      <c r="D21" s="14">
        <v>0</v>
      </c>
      <c r="E21" s="1">
        <v>0</v>
      </c>
      <c r="F21" s="1">
        <v>1735</v>
      </c>
      <c r="G21" s="14">
        <v>1470</v>
      </c>
      <c r="H21" s="14">
        <v>0</v>
      </c>
      <c r="I21" s="14">
        <v>0</v>
      </c>
      <c r="J21" s="14">
        <f t="shared" si="0"/>
        <v>103256</v>
      </c>
    </row>
    <row r="22" spans="1:10" x14ac:dyDescent="0.25">
      <c r="A22" s="1">
        <v>14</v>
      </c>
      <c r="B22" s="1" t="s">
        <v>90</v>
      </c>
      <c r="C22" s="14">
        <v>150000</v>
      </c>
      <c r="D22" s="14"/>
      <c r="E22" s="1"/>
      <c r="F22" s="1">
        <v>0</v>
      </c>
      <c r="G22" s="14"/>
      <c r="H22" s="14">
        <v>0</v>
      </c>
      <c r="I22" s="14">
        <v>0</v>
      </c>
      <c r="J22" s="14">
        <f t="shared" si="0"/>
        <v>150000</v>
      </c>
    </row>
    <row r="23" spans="1:10" x14ac:dyDescent="0.25">
      <c r="A23" s="1">
        <v>15</v>
      </c>
      <c r="B23" s="1" t="s">
        <v>120</v>
      </c>
      <c r="C23" s="14">
        <v>80483</v>
      </c>
      <c r="D23" s="14"/>
      <c r="E23" s="1"/>
      <c r="F23" s="1">
        <v>0</v>
      </c>
      <c r="G23" s="14"/>
      <c r="H23" s="14">
        <v>0</v>
      </c>
      <c r="I23" s="14">
        <v>0</v>
      </c>
      <c r="J23" s="14">
        <f t="shared" si="0"/>
        <v>80483</v>
      </c>
    </row>
    <row r="24" spans="1:10" x14ac:dyDescent="0.25">
      <c r="A24" s="1">
        <v>16</v>
      </c>
      <c r="B24" s="1" t="s">
        <v>128</v>
      </c>
      <c r="C24" s="14">
        <v>67220</v>
      </c>
      <c r="D24" s="14">
        <v>1582</v>
      </c>
      <c r="E24" s="1">
        <v>15450</v>
      </c>
      <c r="F24" s="1">
        <v>3335</v>
      </c>
      <c r="G24" s="14">
        <f>29100+3535</f>
        <v>32635</v>
      </c>
      <c r="H24" s="14">
        <v>2220</v>
      </c>
      <c r="I24" s="14">
        <v>3005</v>
      </c>
      <c r="J24" s="14">
        <f t="shared" si="0"/>
        <v>125447</v>
      </c>
    </row>
    <row r="25" spans="1:10" x14ac:dyDescent="0.25">
      <c r="A25" s="1">
        <v>17</v>
      </c>
      <c r="B25" s="1" t="s">
        <v>127</v>
      </c>
      <c r="C25" s="14">
        <v>32000</v>
      </c>
      <c r="D25" s="14">
        <v>0</v>
      </c>
      <c r="E25" s="1">
        <v>2000</v>
      </c>
      <c r="F25" s="1">
        <v>0</v>
      </c>
      <c r="G25" s="14"/>
      <c r="H25" s="14">
        <v>0</v>
      </c>
      <c r="I25" s="14">
        <v>0</v>
      </c>
      <c r="J25" s="14">
        <f t="shared" si="0"/>
        <v>34000</v>
      </c>
    </row>
    <row r="26" spans="1:10" x14ac:dyDescent="0.25">
      <c r="A26" s="1">
        <v>18</v>
      </c>
      <c r="B26" s="1" t="s">
        <v>129</v>
      </c>
      <c r="C26" s="14">
        <v>178694</v>
      </c>
      <c r="D26" s="14">
        <v>21000</v>
      </c>
      <c r="E26" s="1">
        <v>111400</v>
      </c>
      <c r="F26" s="1">
        <v>202520</v>
      </c>
      <c r="G26" s="14">
        <v>46900</v>
      </c>
      <c r="H26" s="14">
        <v>0</v>
      </c>
      <c r="I26" s="14">
        <v>0</v>
      </c>
      <c r="J26" s="14">
        <f t="shared" si="0"/>
        <v>560514</v>
      </c>
    </row>
    <row r="27" spans="1:10" x14ac:dyDescent="0.25">
      <c r="A27" s="1">
        <v>19</v>
      </c>
      <c r="B27" s="1" t="s">
        <v>157</v>
      </c>
      <c r="C27" s="14">
        <v>2400</v>
      </c>
      <c r="D27" s="14"/>
      <c r="E27" s="1"/>
      <c r="F27" s="1">
        <v>0</v>
      </c>
      <c r="G27" s="14"/>
      <c r="H27" s="14">
        <v>3000</v>
      </c>
      <c r="I27" s="14">
        <v>0</v>
      </c>
      <c r="J27" s="14">
        <f t="shared" si="0"/>
        <v>5400</v>
      </c>
    </row>
    <row r="28" spans="1:10" x14ac:dyDescent="0.25">
      <c r="A28" s="1">
        <v>20</v>
      </c>
      <c r="B28" s="1" t="s">
        <v>158</v>
      </c>
      <c r="C28" s="14">
        <v>1360</v>
      </c>
      <c r="D28" s="14"/>
      <c r="E28" s="1"/>
      <c r="F28" s="1">
        <v>0</v>
      </c>
      <c r="G28" s="14"/>
      <c r="H28" s="14">
        <v>0</v>
      </c>
      <c r="I28" s="14">
        <v>0</v>
      </c>
      <c r="J28" s="14">
        <f t="shared" si="0"/>
        <v>1360</v>
      </c>
    </row>
    <row r="29" spans="1:10" x14ac:dyDescent="0.25">
      <c r="A29" s="66">
        <v>21</v>
      </c>
      <c r="B29" s="66" t="s">
        <v>209</v>
      </c>
      <c r="C29" s="14">
        <v>28350</v>
      </c>
      <c r="D29" s="14">
        <v>34223</v>
      </c>
      <c r="E29" s="66"/>
      <c r="F29" s="66">
        <v>0</v>
      </c>
      <c r="G29" s="67"/>
      <c r="H29" s="67">
        <v>0</v>
      </c>
      <c r="I29" s="67">
        <v>0</v>
      </c>
      <c r="J29" s="67">
        <f t="shared" si="0"/>
        <v>62573</v>
      </c>
    </row>
    <row r="30" spans="1:10" x14ac:dyDescent="0.25">
      <c r="A30" s="66">
        <v>22</v>
      </c>
      <c r="B30" s="66" t="s">
        <v>210</v>
      </c>
      <c r="C30" s="14">
        <v>47610</v>
      </c>
      <c r="D30" s="14"/>
      <c r="E30" s="66"/>
      <c r="F30" s="66">
        <v>0</v>
      </c>
      <c r="G30" s="67"/>
      <c r="H30" s="67">
        <v>0</v>
      </c>
      <c r="I30" s="67">
        <v>0</v>
      </c>
      <c r="J30" s="67">
        <f t="shared" si="0"/>
        <v>47610</v>
      </c>
    </row>
    <row r="31" spans="1:10" x14ac:dyDescent="0.25">
      <c r="A31" s="3">
        <v>23</v>
      </c>
      <c r="B31" s="3" t="s">
        <v>130</v>
      </c>
      <c r="C31" s="15">
        <v>663200</v>
      </c>
      <c r="D31" s="15">
        <v>200250</v>
      </c>
      <c r="E31" s="3">
        <v>106300</v>
      </c>
      <c r="F31" s="3">
        <v>88400</v>
      </c>
      <c r="G31" s="15">
        <v>121600</v>
      </c>
      <c r="H31" s="15">
        <v>20900</v>
      </c>
      <c r="I31" s="15">
        <v>29400</v>
      </c>
      <c r="J31" s="14">
        <f t="shared" si="0"/>
        <v>1230050</v>
      </c>
    </row>
    <row r="32" spans="1:10" x14ac:dyDescent="0.25">
      <c r="A32" s="1">
        <v>24</v>
      </c>
      <c r="B32" s="1" t="s">
        <v>216</v>
      </c>
      <c r="C32" s="14">
        <v>0</v>
      </c>
      <c r="D32" s="14">
        <v>55000</v>
      </c>
      <c r="E32" s="1">
        <v>45500</v>
      </c>
      <c r="F32" s="1">
        <v>45500</v>
      </c>
      <c r="G32" s="14">
        <v>48945</v>
      </c>
      <c r="H32" s="14">
        <v>39500</v>
      </c>
      <c r="I32" s="14">
        <v>44774</v>
      </c>
      <c r="J32" s="14">
        <f t="shared" si="0"/>
        <v>279219</v>
      </c>
    </row>
    <row r="33" spans="1:10" x14ac:dyDescent="0.25">
      <c r="A33" s="1"/>
      <c r="B33" s="3" t="s">
        <v>93</v>
      </c>
      <c r="C33" s="15">
        <f t="shared" ref="C33:H33" si="1">SUM(C5:C32)</f>
        <v>13614316</v>
      </c>
      <c r="D33" s="15">
        <f t="shared" si="1"/>
        <v>703466</v>
      </c>
      <c r="E33" s="15">
        <f t="shared" si="1"/>
        <v>1035714</v>
      </c>
      <c r="F33" s="15">
        <f t="shared" si="1"/>
        <v>829967</v>
      </c>
      <c r="G33" s="15">
        <f t="shared" si="1"/>
        <v>635310</v>
      </c>
      <c r="H33" s="15">
        <f t="shared" si="1"/>
        <v>471297</v>
      </c>
      <c r="I33" s="15">
        <f>SUM(I5:I32)</f>
        <v>250206</v>
      </c>
      <c r="J33" s="15">
        <f>SUM(J5:J32)</f>
        <v>17540276</v>
      </c>
    </row>
    <row r="40" spans="1:10" ht="15.75" x14ac:dyDescent="0.25">
      <c r="A40" s="1"/>
      <c r="B40" s="3" t="s">
        <v>91</v>
      </c>
      <c r="C40" s="8" t="s">
        <v>215</v>
      </c>
      <c r="D40" s="13">
        <v>42370</v>
      </c>
      <c r="E40" s="13">
        <v>42401</v>
      </c>
      <c r="F40" s="13">
        <v>42430</v>
      </c>
      <c r="G40" s="13">
        <v>42461</v>
      </c>
      <c r="H40" s="13">
        <v>42491</v>
      </c>
      <c r="I40" s="13">
        <v>42522</v>
      </c>
      <c r="J40" s="1" t="s">
        <v>81</v>
      </c>
    </row>
    <row r="41" spans="1:10" x14ac:dyDescent="0.25">
      <c r="A41" s="1">
        <v>16</v>
      </c>
      <c r="B41" s="1" t="s">
        <v>92</v>
      </c>
      <c r="C41" s="1">
        <v>46800</v>
      </c>
      <c r="D41" s="14">
        <v>4400</v>
      </c>
      <c r="E41" s="1">
        <v>4400</v>
      </c>
      <c r="F41" s="1">
        <v>4400</v>
      </c>
      <c r="G41" s="14">
        <v>0</v>
      </c>
      <c r="H41" s="27">
        <v>4400</v>
      </c>
      <c r="I41" s="27">
        <v>4400</v>
      </c>
      <c r="J41" s="14">
        <f t="shared" ref="J41:J45" si="2">SUM(C41:I41)</f>
        <v>68800</v>
      </c>
    </row>
    <row r="42" spans="1:10" x14ac:dyDescent="0.25">
      <c r="A42" s="1">
        <v>17</v>
      </c>
      <c r="B42" s="1" t="s">
        <v>97</v>
      </c>
      <c r="C42" s="1">
        <v>1172905</v>
      </c>
      <c r="D42" s="14">
        <v>75000</v>
      </c>
      <c r="E42" s="1">
        <v>75000</v>
      </c>
      <c r="F42" s="1">
        <v>75000</v>
      </c>
      <c r="G42" s="14">
        <v>75000</v>
      </c>
      <c r="H42" s="27">
        <v>75000</v>
      </c>
      <c r="I42" s="27">
        <v>75000</v>
      </c>
      <c r="J42" s="14">
        <f t="shared" si="2"/>
        <v>1622905</v>
      </c>
    </row>
    <row r="43" spans="1:10" x14ac:dyDescent="0.25">
      <c r="A43" s="1">
        <v>18</v>
      </c>
      <c r="B43" s="1" t="s">
        <v>98</v>
      </c>
      <c r="C43" s="1">
        <v>17840</v>
      </c>
      <c r="D43" s="14">
        <v>1789</v>
      </c>
      <c r="E43" s="1">
        <v>1792</v>
      </c>
      <c r="F43" s="1">
        <v>1890</v>
      </c>
      <c r="G43" s="14">
        <v>1512</v>
      </c>
      <c r="H43" s="27">
        <v>1461</v>
      </c>
      <c r="I43" s="27">
        <v>1699</v>
      </c>
      <c r="J43" s="14">
        <f t="shared" si="2"/>
        <v>27983</v>
      </c>
    </row>
    <row r="44" spans="1:10" x14ac:dyDescent="0.25">
      <c r="A44" s="1">
        <v>19</v>
      </c>
      <c r="B44" s="1" t="s">
        <v>46</v>
      </c>
      <c r="C44" s="1">
        <v>35283</v>
      </c>
      <c r="D44" s="14">
        <v>3944</v>
      </c>
      <c r="E44" s="1">
        <v>2915</v>
      </c>
      <c r="F44" s="1">
        <v>2010</v>
      </c>
      <c r="G44" s="14">
        <v>558</v>
      </c>
      <c r="H44" s="27">
        <v>4160</v>
      </c>
      <c r="I44" s="27">
        <v>1097</v>
      </c>
      <c r="J44" s="14">
        <f t="shared" si="2"/>
        <v>49967</v>
      </c>
    </row>
    <row r="45" spans="1:10" x14ac:dyDescent="0.25">
      <c r="A45" s="1">
        <v>20</v>
      </c>
      <c r="B45" s="1" t="s">
        <v>14</v>
      </c>
      <c r="C45" s="1">
        <v>45083</v>
      </c>
      <c r="D45" s="14">
        <v>2935</v>
      </c>
      <c r="E45" s="1">
        <v>3737</v>
      </c>
      <c r="F45" s="1">
        <v>1340</v>
      </c>
      <c r="G45" s="14">
        <v>1737</v>
      </c>
      <c r="H45" s="27">
        <v>3490</v>
      </c>
      <c r="I45" s="27">
        <v>1105</v>
      </c>
      <c r="J45" s="14">
        <f t="shared" si="2"/>
        <v>59427</v>
      </c>
    </row>
    <row r="46" spans="1:10" x14ac:dyDescent="0.25">
      <c r="A46" s="1"/>
      <c r="B46" s="3" t="s">
        <v>93</v>
      </c>
      <c r="C46" s="3">
        <f>SUM(C41:C45)</f>
        <v>1317911</v>
      </c>
      <c r="D46" s="15">
        <f t="shared" ref="D46:H46" si="3">SUM(D41:D45)</f>
        <v>88068</v>
      </c>
      <c r="E46" s="15">
        <f t="shared" si="3"/>
        <v>87844</v>
      </c>
      <c r="F46" s="15">
        <f t="shared" si="3"/>
        <v>84640</v>
      </c>
      <c r="G46" s="15">
        <f t="shared" si="3"/>
        <v>78807</v>
      </c>
      <c r="H46" s="28">
        <f t="shared" si="3"/>
        <v>88511</v>
      </c>
      <c r="I46" s="28">
        <f>SUM(I41:I45)</f>
        <v>83301</v>
      </c>
      <c r="J46" s="15">
        <f>SUM(J41:J45)</f>
        <v>1829082</v>
      </c>
    </row>
    <row r="47" spans="1:10" ht="15.75" x14ac:dyDescent="0.25">
      <c r="A47" s="1"/>
      <c r="B47" s="8" t="s">
        <v>94</v>
      </c>
      <c r="C47" s="16">
        <f t="shared" ref="C47:J47" si="4">C33+C46</f>
        <v>14932227</v>
      </c>
      <c r="D47" s="16">
        <f t="shared" si="4"/>
        <v>791534</v>
      </c>
      <c r="E47" s="16">
        <f t="shared" si="4"/>
        <v>1123558</v>
      </c>
      <c r="F47" s="16">
        <f t="shared" si="4"/>
        <v>914607</v>
      </c>
      <c r="G47" s="16">
        <f t="shared" si="4"/>
        <v>714117</v>
      </c>
      <c r="H47" s="16">
        <f t="shared" si="4"/>
        <v>559808</v>
      </c>
      <c r="I47" s="16">
        <f t="shared" si="4"/>
        <v>333507</v>
      </c>
      <c r="J47" s="16">
        <f t="shared" si="4"/>
        <v>19369358</v>
      </c>
    </row>
    <row r="53" spans="2:10" ht="15.75" thickBot="1" x14ac:dyDescent="0.3"/>
    <row r="54" spans="2:10" ht="15.75" thickBot="1" x14ac:dyDescent="0.3">
      <c r="B54" s="35" t="s">
        <v>6</v>
      </c>
      <c r="C54" s="13">
        <v>42370</v>
      </c>
      <c r="D54" s="13">
        <v>42401</v>
      </c>
      <c r="E54" s="13">
        <v>42430</v>
      </c>
      <c r="F54" s="13">
        <v>42461</v>
      </c>
      <c r="G54" s="13">
        <v>42491</v>
      </c>
      <c r="H54" s="13">
        <v>42522</v>
      </c>
      <c r="I54" s="13">
        <v>42552</v>
      </c>
      <c r="J54" s="13">
        <v>42583</v>
      </c>
    </row>
    <row r="55" spans="2:10" x14ac:dyDescent="0.25">
      <c r="B55" s="39" t="s">
        <v>99</v>
      </c>
      <c r="C55" s="40" t="s">
        <v>218</v>
      </c>
      <c r="D55" s="40" t="s">
        <v>226</v>
      </c>
      <c r="E55" s="41" t="s">
        <v>227</v>
      </c>
      <c r="F55" s="50" t="s">
        <v>232</v>
      </c>
      <c r="G55" s="38">
        <v>0</v>
      </c>
      <c r="H55" s="1" t="s">
        <v>239</v>
      </c>
      <c r="I55" s="1">
        <v>0</v>
      </c>
      <c r="J55" s="1" t="s">
        <v>276</v>
      </c>
    </row>
    <row r="56" spans="2:10" x14ac:dyDescent="0.25">
      <c r="B56" s="43" t="s">
        <v>85</v>
      </c>
      <c r="C56" s="1" t="s">
        <v>125</v>
      </c>
      <c r="D56" s="1" t="s">
        <v>212</v>
      </c>
      <c r="E56" s="38" t="s">
        <v>228</v>
      </c>
      <c r="F56" s="51" t="s">
        <v>233</v>
      </c>
      <c r="G56" s="38" t="s">
        <v>237</v>
      </c>
      <c r="H56" s="1">
        <v>0</v>
      </c>
      <c r="I56" s="1">
        <v>0</v>
      </c>
      <c r="J56" s="1" t="s">
        <v>104</v>
      </c>
    </row>
    <row r="57" spans="2:10" x14ac:dyDescent="0.25">
      <c r="B57" s="1" t="s">
        <v>40</v>
      </c>
      <c r="C57" s="1" t="s">
        <v>219</v>
      </c>
      <c r="D57" s="1" t="s">
        <v>224</v>
      </c>
      <c r="E57" s="38" t="s">
        <v>161</v>
      </c>
      <c r="F57" s="1" t="s">
        <v>234</v>
      </c>
      <c r="G57" s="38">
        <v>0</v>
      </c>
      <c r="H57" s="1" t="s">
        <v>234</v>
      </c>
      <c r="I57" s="1">
        <v>0</v>
      </c>
      <c r="J57" s="1" t="s">
        <v>213</v>
      </c>
    </row>
    <row r="58" spans="2:10" x14ac:dyDescent="0.25">
      <c r="B58" s="1" t="s">
        <v>42</v>
      </c>
      <c r="C58" s="1" t="s">
        <v>220</v>
      </c>
      <c r="D58" s="1" t="s">
        <v>225</v>
      </c>
      <c r="E58" s="1" t="s">
        <v>229</v>
      </c>
      <c r="F58" s="1" t="s">
        <v>235</v>
      </c>
      <c r="G58" s="1">
        <v>0</v>
      </c>
      <c r="H58" s="1">
        <v>0</v>
      </c>
      <c r="I58" s="1">
        <v>0</v>
      </c>
      <c r="J58" s="1">
        <v>0</v>
      </c>
    </row>
    <row r="59" spans="2:10" ht="15.75" thickBot="1" x14ac:dyDescent="0.3"/>
    <row r="60" spans="2:10" ht="15.75" thickBot="1" x14ac:dyDescent="0.3">
      <c r="B60" s="35" t="s">
        <v>6</v>
      </c>
      <c r="C60" s="35">
        <v>42614</v>
      </c>
      <c r="D60" s="36">
        <v>42644</v>
      </c>
      <c r="E60" s="36">
        <v>42675</v>
      </c>
      <c r="F60" s="53">
        <v>42705</v>
      </c>
      <c r="G60" s="60"/>
      <c r="H60" s="60"/>
      <c r="I60" s="61"/>
      <c r="J60" s="34"/>
    </row>
    <row r="61" spans="2:10" x14ac:dyDescent="0.25">
      <c r="B61" s="39" t="s">
        <v>99</v>
      </c>
      <c r="C61" s="40"/>
      <c r="D61" s="40"/>
      <c r="E61" s="62"/>
      <c r="F61" s="1"/>
      <c r="G61" s="25"/>
      <c r="H61" s="22"/>
      <c r="I61" s="22"/>
      <c r="J61" s="22"/>
    </row>
    <row r="62" spans="2:10" x14ac:dyDescent="0.25">
      <c r="B62" s="43" t="s">
        <v>85</v>
      </c>
      <c r="C62" s="1"/>
      <c r="D62" s="1"/>
      <c r="E62" s="63"/>
      <c r="F62" s="1"/>
      <c r="G62" s="25"/>
      <c r="H62" s="22"/>
      <c r="I62" s="22"/>
      <c r="J62" s="22"/>
    </row>
    <row r="63" spans="2:10" ht="15.75" thickBot="1" x14ac:dyDescent="0.3">
      <c r="B63" s="45" t="s">
        <v>40</v>
      </c>
      <c r="C63" s="46"/>
      <c r="D63" s="46"/>
      <c r="E63" s="64"/>
      <c r="F63" s="1"/>
      <c r="G63" s="25"/>
      <c r="H63" s="22"/>
      <c r="I63" s="22"/>
      <c r="J63" s="22"/>
    </row>
    <row r="73" spans="1:6" ht="18.75" x14ac:dyDescent="0.3">
      <c r="B73" s="5" t="s">
        <v>80</v>
      </c>
    </row>
    <row r="74" spans="1:6" ht="18.75" x14ac:dyDescent="0.3">
      <c r="B74" s="5" t="s">
        <v>64</v>
      </c>
    </row>
    <row r="75" spans="1:6" x14ac:dyDescent="0.25">
      <c r="B75" t="s">
        <v>339</v>
      </c>
    </row>
    <row r="76" spans="1:6" ht="15.75" x14ac:dyDescent="0.25">
      <c r="A76" s="9" t="s">
        <v>156</v>
      </c>
      <c r="B76" s="8" t="s">
        <v>139</v>
      </c>
      <c r="C76" s="9" t="s">
        <v>140</v>
      </c>
      <c r="D76" s="9" t="s">
        <v>152</v>
      </c>
      <c r="E76" s="9" t="s">
        <v>141</v>
      </c>
      <c r="F76" s="9" t="s">
        <v>142</v>
      </c>
    </row>
    <row r="77" spans="1:6" ht="15.75" x14ac:dyDescent="0.25">
      <c r="A77" s="9"/>
      <c r="B77" s="8" t="s">
        <v>318</v>
      </c>
      <c r="C77" s="56">
        <v>77830</v>
      </c>
      <c r="D77" s="56">
        <v>241750</v>
      </c>
      <c r="E77" s="56">
        <v>13460</v>
      </c>
      <c r="F77" s="56">
        <v>46795</v>
      </c>
    </row>
    <row r="78" spans="1:6" ht="15.75" x14ac:dyDescent="0.25">
      <c r="A78" s="9">
        <v>1</v>
      </c>
      <c r="B78" s="9" t="s">
        <v>319</v>
      </c>
      <c r="C78" s="56">
        <v>0</v>
      </c>
      <c r="D78" s="56">
        <v>0</v>
      </c>
      <c r="E78" s="56">
        <v>0</v>
      </c>
      <c r="F78" s="56">
        <v>410</v>
      </c>
    </row>
    <row r="79" spans="1:6" ht="15.75" x14ac:dyDescent="0.25">
      <c r="A79" s="9">
        <v>2</v>
      </c>
      <c r="B79" s="9" t="s">
        <v>320</v>
      </c>
      <c r="C79" s="56">
        <v>0</v>
      </c>
      <c r="D79" s="56">
        <v>0</v>
      </c>
      <c r="E79" s="56">
        <v>0</v>
      </c>
      <c r="F79" s="56">
        <v>10</v>
      </c>
    </row>
    <row r="80" spans="1:6" ht="15.75" x14ac:dyDescent="0.25">
      <c r="A80" s="9">
        <v>3</v>
      </c>
      <c r="B80" s="9" t="s">
        <v>321</v>
      </c>
      <c r="C80" s="56">
        <v>0</v>
      </c>
      <c r="D80" s="56">
        <v>0</v>
      </c>
      <c r="E80" s="56">
        <v>0</v>
      </c>
      <c r="F80" s="56">
        <v>172.5</v>
      </c>
    </row>
    <row r="81" spans="1:6" ht="15.75" x14ac:dyDescent="0.25">
      <c r="A81" s="9">
        <v>4</v>
      </c>
      <c r="B81" s="9" t="s">
        <v>322</v>
      </c>
      <c r="C81" s="56"/>
      <c r="D81" s="56">
        <v>49652.5</v>
      </c>
      <c r="E81" s="56"/>
      <c r="F81" s="56">
        <v>10</v>
      </c>
    </row>
    <row r="82" spans="1:6" ht="15.75" x14ac:dyDescent="0.25">
      <c r="A82" s="9">
        <v>5</v>
      </c>
      <c r="B82" s="9" t="s">
        <v>323</v>
      </c>
      <c r="C82" s="56"/>
      <c r="D82" s="56"/>
      <c r="E82" s="56"/>
      <c r="F82" s="56"/>
    </row>
    <row r="83" spans="1:6" ht="15.75" x14ac:dyDescent="0.25">
      <c r="A83" s="8">
        <v>6</v>
      </c>
      <c r="B83" s="8" t="s">
        <v>324</v>
      </c>
      <c r="C83" s="57">
        <v>16087</v>
      </c>
      <c r="D83" s="57">
        <v>0</v>
      </c>
      <c r="E83" s="57">
        <v>0</v>
      </c>
      <c r="F83" s="57">
        <v>2343.6999999999998</v>
      </c>
    </row>
    <row r="84" spans="1:6" ht="15.75" x14ac:dyDescent="0.25">
      <c r="A84" s="9">
        <v>7</v>
      </c>
      <c r="B84" s="9" t="s">
        <v>330</v>
      </c>
      <c r="C84" s="56"/>
      <c r="D84" s="56"/>
      <c r="E84" s="56"/>
      <c r="F84" s="56"/>
    </row>
    <row r="85" spans="1:6" ht="15.75" x14ac:dyDescent="0.25">
      <c r="A85" s="9">
        <v>8</v>
      </c>
      <c r="B85" s="9" t="s">
        <v>325</v>
      </c>
      <c r="C85" s="56"/>
      <c r="D85" s="56"/>
      <c r="E85" s="56"/>
      <c r="F85" s="56"/>
    </row>
    <row r="86" spans="1:6" ht="15.75" x14ac:dyDescent="0.25">
      <c r="A86" s="9">
        <v>9</v>
      </c>
      <c r="B86" s="9" t="s">
        <v>326</v>
      </c>
      <c r="C86" s="56"/>
      <c r="D86" s="56"/>
      <c r="E86" s="56"/>
      <c r="F86" s="56"/>
    </row>
    <row r="87" spans="1:6" ht="15.75" x14ac:dyDescent="0.25">
      <c r="A87" s="9">
        <v>10</v>
      </c>
      <c r="B87" s="9" t="s">
        <v>327</v>
      </c>
      <c r="C87" s="56"/>
      <c r="D87" s="56"/>
      <c r="E87" s="56"/>
      <c r="F87" s="56"/>
    </row>
    <row r="88" spans="1:6" ht="15.75" x14ac:dyDescent="0.25">
      <c r="A88" s="9">
        <v>11</v>
      </c>
      <c r="B88" s="9" t="s">
        <v>328</v>
      </c>
      <c r="C88" s="56"/>
      <c r="D88" s="56"/>
      <c r="E88" s="56"/>
      <c r="F88" s="56"/>
    </row>
    <row r="89" spans="1:6" ht="15.75" x14ac:dyDescent="0.25">
      <c r="A89" s="9">
        <v>12</v>
      </c>
      <c r="B89" s="9" t="s">
        <v>329</v>
      </c>
      <c r="C89" s="56"/>
      <c r="D89" s="56"/>
      <c r="E89" s="56"/>
      <c r="F89" s="56"/>
    </row>
    <row r="90" spans="1:6" ht="15.75" x14ac:dyDescent="0.25">
      <c r="A90" s="9"/>
      <c r="B90" s="55" t="s">
        <v>138</v>
      </c>
      <c r="C90" s="57">
        <f>SUM(C77:C89)</f>
        <v>93917</v>
      </c>
      <c r="D90" s="57">
        <f>SUM(D77:D89)</f>
        <v>291402.5</v>
      </c>
      <c r="E90" s="57">
        <f>SUM(E77:E89)</f>
        <v>13460</v>
      </c>
      <c r="F90" s="57">
        <f>SUM(F77:F89)</f>
        <v>49741.2</v>
      </c>
    </row>
    <row r="91" spans="1:6" ht="15.75" thickBot="1" x14ac:dyDescent="0.3"/>
    <row r="92" spans="1:6" ht="16.5" thickBot="1" x14ac:dyDescent="0.3">
      <c r="D92" s="12" t="s">
        <v>203</v>
      </c>
      <c r="E92" s="12"/>
      <c r="F92" s="65">
        <f>SUM(C90+D90+E90)-(F90)</f>
        <v>349038.3</v>
      </c>
    </row>
    <row r="103" spans="1:3" ht="18.75" x14ac:dyDescent="0.3">
      <c r="B103" s="5" t="s">
        <v>80</v>
      </c>
    </row>
    <row r="104" spans="1:3" ht="18.75" x14ac:dyDescent="0.3">
      <c r="B104" s="5" t="s">
        <v>64</v>
      </c>
    </row>
    <row r="105" spans="1:3" ht="18.75" x14ac:dyDescent="0.3">
      <c r="B105" s="5" t="s">
        <v>243</v>
      </c>
    </row>
    <row r="106" spans="1:3" ht="18.75" x14ac:dyDescent="0.3">
      <c r="B106" s="5" t="s">
        <v>307</v>
      </c>
    </row>
    <row r="108" spans="1:3" x14ac:dyDescent="0.25">
      <c r="A108" s="3" t="s">
        <v>244</v>
      </c>
      <c r="B108" s="3" t="s">
        <v>245</v>
      </c>
      <c r="C108" s="69" t="s">
        <v>249</v>
      </c>
    </row>
    <row r="109" spans="1:3" x14ac:dyDescent="0.25">
      <c r="A109" s="1"/>
      <c r="B109" s="66" t="s">
        <v>22</v>
      </c>
      <c r="C109" s="87">
        <v>20000000</v>
      </c>
    </row>
    <row r="110" spans="1:3" x14ac:dyDescent="0.25">
      <c r="A110" s="1"/>
      <c r="B110" s="66" t="s">
        <v>246</v>
      </c>
      <c r="C110" s="87">
        <v>27045458</v>
      </c>
    </row>
    <row r="111" spans="1:3" x14ac:dyDescent="0.25">
      <c r="A111" s="1"/>
      <c r="B111" s="66" t="s">
        <v>247</v>
      </c>
      <c r="C111" s="88">
        <v>884500</v>
      </c>
    </row>
    <row r="112" spans="1:3" x14ac:dyDescent="0.25">
      <c r="A112" s="1"/>
      <c r="B112" s="1" t="s">
        <v>255</v>
      </c>
      <c r="C112" s="88">
        <v>286245</v>
      </c>
    </row>
    <row r="113" spans="1:3" ht="18.75" x14ac:dyDescent="0.3">
      <c r="A113" s="1"/>
      <c r="B113" s="73" t="s">
        <v>248</v>
      </c>
      <c r="C113" s="89">
        <f>SUM(C109:C112)</f>
        <v>48216203</v>
      </c>
    </row>
    <row r="114" spans="1:3" ht="18.75" x14ac:dyDescent="0.3">
      <c r="B114" s="5"/>
      <c r="C114" s="26"/>
    </row>
    <row r="115" spans="1:3" ht="18.75" x14ac:dyDescent="0.3">
      <c r="A115" s="3" t="s">
        <v>250</v>
      </c>
      <c r="B115" s="73" t="s">
        <v>251</v>
      </c>
      <c r="C115" s="69" t="s">
        <v>249</v>
      </c>
    </row>
    <row r="116" spans="1:3" x14ac:dyDescent="0.25">
      <c r="A116" s="1"/>
      <c r="B116" s="66" t="s">
        <v>252</v>
      </c>
      <c r="C116" s="87">
        <v>20000000</v>
      </c>
    </row>
    <row r="117" spans="1:3" x14ac:dyDescent="0.25">
      <c r="A117" s="1"/>
      <c r="B117" s="66" t="s">
        <v>253</v>
      </c>
      <c r="C117" s="88">
        <v>26101776</v>
      </c>
    </row>
    <row r="118" spans="1:3" x14ac:dyDescent="0.25">
      <c r="A118" s="1"/>
      <c r="B118" s="66" t="s">
        <v>254</v>
      </c>
      <c r="C118" s="88">
        <v>115187</v>
      </c>
    </row>
    <row r="119" spans="1:3" x14ac:dyDescent="0.25">
      <c r="A119" s="1"/>
      <c r="B119" s="1" t="s">
        <v>296</v>
      </c>
      <c r="C119" s="88">
        <v>1900000</v>
      </c>
    </row>
    <row r="120" spans="1:3" x14ac:dyDescent="0.25">
      <c r="A120" s="1"/>
      <c r="B120" s="1" t="s">
        <v>290</v>
      </c>
      <c r="C120" s="88">
        <v>10829</v>
      </c>
    </row>
    <row r="121" spans="1:3" x14ac:dyDescent="0.25">
      <c r="A121" s="1"/>
      <c r="B121" s="1" t="s">
        <v>310</v>
      </c>
      <c r="C121" s="88">
        <v>0</v>
      </c>
    </row>
    <row r="122" spans="1:3" x14ac:dyDescent="0.25">
      <c r="A122" s="1"/>
      <c r="B122" s="1" t="s">
        <v>297</v>
      </c>
      <c r="C122" s="88">
        <v>88411</v>
      </c>
    </row>
    <row r="123" spans="1:3" ht="18.75" x14ac:dyDescent="0.3">
      <c r="A123" s="1"/>
      <c r="B123" s="73" t="s">
        <v>248</v>
      </c>
      <c r="C123" s="89">
        <f>SUM(C116:C122)</f>
        <v>48216203</v>
      </c>
    </row>
    <row r="135" spans="1:10" ht="18.75" x14ac:dyDescent="0.3">
      <c r="B135" s="5" t="s">
        <v>80</v>
      </c>
      <c r="C135" s="5"/>
      <c r="D135" s="12"/>
    </row>
    <row r="136" spans="1:10" ht="18.75" x14ac:dyDescent="0.3">
      <c r="B136" s="5" t="s">
        <v>64</v>
      </c>
      <c r="C136" s="5"/>
      <c r="D136" s="12"/>
    </row>
    <row r="137" spans="1:10" ht="18.75" x14ac:dyDescent="0.3">
      <c r="B137" s="5" t="s">
        <v>278</v>
      </c>
      <c r="C137" s="5"/>
      <c r="D137" s="12"/>
    </row>
    <row r="138" spans="1:10" ht="15.75" x14ac:dyDescent="0.25">
      <c r="A138" s="1" t="s">
        <v>21</v>
      </c>
      <c r="B138" s="8" t="s">
        <v>6</v>
      </c>
      <c r="C138" s="59" t="s">
        <v>277</v>
      </c>
      <c r="D138" s="13">
        <v>42736</v>
      </c>
      <c r="E138" s="13">
        <v>42767</v>
      </c>
      <c r="F138" s="13">
        <v>42795</v>
      </c>
      <c r="G138" s="13">
        <v>42826</v>
      </c>
      <c r="H138" s="13">
        <v>42856</v>
      </c>
      <c r="I138" s="13">
        <v>42887</v>
      </c>
      <c r="J138" s="1" t="s">
        <v>81</v>
      </c>
    </row>
    <row r="139" spans="1:10" x14ac:dyDescent="0.25">
      <c r="A139" s="1">
        <v>1</v>
      </c>
      <c r="B139" s="1" t="s">
        <v>83</v>
      </c>
      <c r="C139" s="27">
        <v>16100</v>
      </c>
      <c r="D139" s="14">
        <v>0</v>
      </c>
      <c r="E139" s="14">
        <v>0</v>
      </c>
      <c r="F139" s="1"/>
      <c r="G139" s="14"/>
      <c r="H139" s="27"/>
      <c r="I139" s="27"/>
      <c r="J139" s="14">
        <f t="shared" ref="J139:J167" si="5">SUM(C139:I139)</f>
        <v>16100</v>
      </c>
    </row>
    <row r="140" spans="1:10" ht="15.75" x14ac:dyDescent="0.25">
      <c r="A140" s="1">
        <v>2</v>
      </c>
      <c r="B140" s="17" t="s">
        <v>95</v>
      </c>
      <c r="C140" s="68">
        <v>847900</v>
      </c>
      <c r="D140" s="14">
        <v>0</v>
      </c>
      <c r="E140" s="14">
        <v>0</v>
      </c>
      <c r="F140" s="1"/>
      <c r="G140" s="14"/>
      <c r="H140" s="27"/>
      <c r="I140" s="27"/>
      <c r="J140" s="14">
        <f t="shared" si="5"/>
        <v>847900</v>
      </c>
    </row>
    <row r="141" spans="1:10" x14ac:dyDescent="0.25">
      <c r="A141" s="1">
        <v>3</v>
      </c>
      <c r="B141" s="1" t="s">
        <v>82</v>
      </c>
      <c r="C141" s="27">
        <v>115500</v>
      </c>
      <c r="D141" s="14">
        <v>0</v>
      </c>
      <c r="E141" s="14">
        <v>0</v>
      </c>
      <c r="F141" s="1"/>
      <c r="G141" s="14"/>
      <c r="H141" s="27"/>
      <c r="I141" s="27"/>
      <c r="J141" s="14">
        <f t="shared" si="5"/>
        <v>115500</v>
      </c>
    </row>
    <row r="142" spans="1:10" x14ac:dyDescent="0.25">
      <c r="A142" s="1">
        <v>4</v>
      </c>
      <c r="B142" s="1" t="s">
        <v>107</v>
      </c>
      <c r="C142" s="27">
        <v>320120</v>
      </c>
      <c r="D142" s="14">
        <v>0</v>
      </c>
      <c r="E142" s="14">
        <v>0</v>
      </c>
      <c r="F142" s="1"/>
      <c r="G142" s="14"/>
      <c r="H142" s="27"/>
      <c r="I142" s="27"/>
      <c r="J142" s="14">
        <f t="shared" si="5"/>
        <v>320120</v>
      </c>
    </row>
    <row r="143" spans="1:10" x14ac:dyDescent="0.25">
      <c r="A143" s="1"/>
      <c r="B143" s="1" t="s">
        <v>123</v>
      </c>
      <c r="C143" s="27">
        <v>571500</v>
      </c>
      <c r="D143" s="14">
        <v>0</v>
      </c>
      <c r="E143" s="14">
        <v>0</v>
      </c>
      <c r="F143" s="1"/>
      <c r="G143" s="14"/>
      <c r="H143" s="27"/>
      <c r="I143" s="27"/>
      <c r="J143" s="14">
        <f t="shared" si="5"/>
        <v>571500</v>
      </c>
    </row>
    <row r="144" spans="1:10" x14ac:dyDescent="0.25">
      <c r="A144" s="1">
        <v>5</v>
      </c>
      <c r="B144" s="1" t="s">
        <v>84</v>
      </c>
      <c r="C144" s="27">
        <v>140858</v>
      </c>
      <c r="D144" s="14">
        <v>0</v>
      </c>
      <c r="E144" s="14">
        <v>0</v>
      </c>
      <c r="F144" s="1"/>
      <c r="G144" s="14"/>
      <c r="H144" s="27"/>
      <c r="I144" s="27"/>
      <c r="J144" s="14">
        <f t="shared" si="5"/>
        <v>140858</v>
      </c>
    </row>
    <row r="145" spans="1:10" x14ac:dyDescent="0.25">
      <c r="A145" s="1">
        <v>6</v>
      </c>
      <c r="B145" s="1" t="s">
        <v>109</v>
      </c>
      <c r="C145" s="27">
        <v>7464795</v>
      </c>
      <c r="D145" s="14">
        <v>0</v>
      </c>
      <c r="E145" s="14">
        <v>0</v>
      </c>
      <c r="F145" s="1"/>
      <c r="G145" s="14"/>
      <c r="H145" s="27"/>
      <c r="I145" s="27"/>
      <c r="J145" s="14">
        <f t="shared" si="5"/>
        <v>7464795</v>
      </c>
    </row>
    <row r="146" spans="1:10" x14ac:dyDescent="0.25">
      <c r="A146" s="1">
        <v>7</v>
      </c>
      <c r="B146" s="1" t="s">
        <v>37</v>
      </c>
      <c r="C146" s="14">
        <v>2645405</v>
      </c>
      <c r="D146" s="14">
        <v>0</v>
      </c>
      <c r="E146" s="14">
        <v>0</v>
      </c>
      <c r="F146" s="1"/>
      <c r="G146" s="14"/>
      <c r="H146" s="27"/>
      <c r="I146" s="27"/>
      <c r="J146" s="14">
        <f t="shared" si="5"/>
        <v>2645405</v>
      </c>
    </row>
    <row r="147" spans="1:10" x14ac:dyDescent="0.25">
      <c r="A147" s="1">
        <v>8</v>
      </c>
      <c r="B147" s="1" t="s">
        <v>111</v>
      </c>
      <c r="C147" s="14">
        <v>3266984</v>
      </c>
      <c r="D147" s="14">
        <v>0</v>
      </c>
      <c r="E147" s="14">
        <v>0</v>
      </c>
      <c r="F147" s="1"/>
      <c r="G147" s="14"/>
      <c r="H147" s="27"/>
      <c r="I147" s="27"/>
      <c r="J147" s="14">
        <f t="shared" si="5"/>
        <v>3266984</v>
      </c>
    </row>
    <row r="148" spans="1:10" x14ac:dyDescent="0.25">
      <c r="A148" s="1">
        <v>9</v>
      </c>
      <c r="B148" s="1" t="s">
        <v>96</v>
      </c>
      <c r="C148" s="14">
        <v>609650</v>
      </c>
      <c r="D148" s="14">
        <v>0</v>
      </c>
      <c r="E148" s="14">
        <v>0</v>
      </c>
      <c r="F148" s="1">
        <v>0</v>
      </c>
      <c r="G148" s="14">
        <v>42500</v>
      </c>
      <c r="H148" s="27"/>
      <c r="I148" s="27"/>
      <c r="J148" s="14">
        <f t="shared" si="5"/>
        <v>652150</v>
      </c>
    </row>
    <row r="149" spans="1:10" x14ac:dyDescent="0.25">
      <c r="A149" s="1">
        <v>10</v>
      </c>
      <c r="B149" s="1" t="s">
        <v>217</v>
      </c>
      <c r="C149" s="14">
        <v>466930</v>
      </c>
      <c r="D149" s="14">
        <v>0</v>
      </c>
      <c r="E149" s="14">
        <v>0</v>
      </c>
      <c r="F149" s="1">
        <v>0</v>
      </c>
      <c r="G149" s="14">
        <v>0</v>
      </c>
      <c r="H149" s="27">
        <v>11250</v>
      </c>
      <c r="I149" s="27"/>
      <c r="J149" s="14">
        <f t="shared" si="5"/>
        <v>478180</v>
      </c>
    </row>
    <row r="150" spans="1:10" x14ac:dyDescent="0.25">
      <c r="A150" s="1">
        <v>11</v>
      </c>
      <c r="B150" s="1" t="s">
        <v>86</v>
      </c>
      <c r="C150" s="14">
        <v>192980</v>
      </c>
      <c r="D150" s="14">
        <v>0</v>
      </c>
      <c r="E150" s="14">
        <v>0</v>
      </c>
      <c r="F150" s="1"/>
      <c r="G150" s="14"/>
      <c r="H150" s="27"/>
      <c r="I150" s="27"/>
      <c r="J150" s="14">
        <f t="shared" si="5"/>
        <v>192980</v>
      </c>
    </row>
    <row r="151" spans="1:10" x14ac:dyDescent="0.25">
      <c r="A151" s="1"/>
      <c r="B151" s="1" t="s">
        <v>108</v>
      </c>
      <c r="C151" s="14">
        <v>91954</v>
      </c>
      <c r="D151" s="14">
        <v>0</v>
      </c>
      <c r="E151" s="14">
        <v>2600</v>
      </c>
      <c r="F151" s="1"/>
      <c r="G151" s="14"/>
      <c r="H151" s="27"/>
      <c r="I151" s="27"/>
      <c r="J151" s="14">
        <f t="shared" si="5"/>
        <v>94554</v>
      </c>
    </row>
    <row r="152" spans="1:10" x14ac:dyDescent="0.25">
      <c r="A152" s="1"/>
      <c r="B152" s="1" t="s">
        <v>119</v>
      </c>
      <c r="C152" s="14">
        <v>168733</v>
      </c>
      <c r="D152" s="14">
        <v>0</v>
      </c>
      <c r="E152" s="14">
        <v>4760</v>
      </c>
      <c r="F152" s="1">
        <v>0</v>
      </c>
      <c r="G152" s="14">
        <v>2065</v>
      </c>
      <c r="H152" s="27">
        <v>0</v>
      </c>
      <c r="I152" s="27">
        <v>2270</v>
      </c>
      <c r="J152" s="14">
        <f t="shared" si="5"/>
        <v>177828</v>
      </c>
    </row>
    <row r="153" spans="1:10" x14ac:dyDescent="0.25">
      <c r="A153" s="1">
        <v>12</v>
      </c>
      <c r="B153" s="1" t="s">
        <v>87</v>
      </c>
      <c r="C153" s="14">
        <v>632725</v>
      </c>
      <c r="D153" s="14">
        <v>0</v>
      </c>
      <c r="E153" s="14">
        <v>0</v>
      </c>
      <c r="F153" s="1"/>
      <c r="G153" s="14"/>
      <c r="H153" s="27"/>
      <c r="I153" s="27"/>
      <c r="J153" s="14">
        <f t="shared" si="5"/>
        <v>632725</v>
      </c>
    </row>
    <row r="154" spans="1:10" x14ac:dyDescent="0.25">
      <c r="A154" s="1">
        <v>13</v>
      </c>
      <c r="B154" s="1" t="s">
        <v>88</v>
      </c>
      <c r="C154" s="14">
        <v>158109</v>
      </c>
      <c r="D154" s="14">
        <v>0</v>
      </c>
      <c r="E154" s="14">
        <v>0</v>
      </c>
      <c r="F154" s="1"/>
      <c r="G154" s="14"/>
      <c r="H154" s="27"/>
      <c r="I154" s="27"/>
      <c r="J154" s="14">
        <f t="shared" si="5"/>
        <v>158109</v>
      </c>
    </row>
    <row r="155" spans="1:10" x14ac:dyDescent="0.25">
      <c r="A155" s="1">
        <v>14</v>
      </c>
      <c r="B155" s="1" t="s">
        <v>89</v>
      </c>
      <c r="C155" s="14">
        <v>103306</v>
      </c>
      <c r="D155" s="14">
        <v>0</v>
      </c>
      <c r="E155" s="14">
        <v>970</v>
      </c>
      <c r="F155" s="1"/>
      <c r="G155" s="14"/>
      <c r="H155" s="14"/>
      <c r="I155" s="14"/>
      <c r="J155" s="14">
        <f t="shared" si="5"/>
        <v>104276</v>
      </c>
    </row>
    <row r="156" spans="1:10" x14ac:dyDescent="0.25">
      <c r="A156" s="1">
        <v>14</v>
      </c>
      <c r="B156" s="1" t="s">
        <v>90</v>
      </c>
      <c r="C156" s="14">
        <v>150000</v>
      </c>
      <c r="D156" s="14">
        <v>0</v>
      </c>
      <c r="E156" s="14">
        <v>0</v>
      </c>
      <c r="F156" s="1"/>
      <c r="G156" s="14"/>
      <c r="H156" s="14"/>
      <c r="I156" s="14"/>
      <c r="J156" s="14">
        <f t="shared" si="5"/>
        <v>150000</v>
      </c>
    </row>
    <row r="157" spans="1:10" x14ac:dyDescent="0.25">
      <c r="A157" s="1">
        <v>15</v>
      </c>
      <c r="B157" s="76" t="s">
        <v>120</v>
      </c>
      <c r="C157" s="14">
        <v>80483</v>
      </c>
      <c r="D157" s="14">
        <v>0</v>
      </c>
      <c r="E157" s="14">
        <v>0</v>
      </c>
      <c r="F157" s="1"/>
      <c r="G157" s="14"/>
      <c r="H157" s="14"/>
      <c r="I157" s="14"/>
      <c r="J157" s="14">
        <f t="shared" si="5"/>
        <v>80483</v>
      </c>
    </row>
    <row r="158" spans="1:10" x14ac:dyDescent="0.25">
      <c r="A158" s="1">
        <v>16</v>
      </c>
      <c r="B158" s="1" t="s">
        <v>128</v>
      </c>
      <c r="C158" s="14">
        <v>183872</v>
      </c>
      <c r="D158" s="14"/>
      <c r="E158" s="14">
        <v>0</v>
      </c>
      <c r="F158" s="1">
        <v>0</v>
      </c>
      <c r="G158" s="14">
        <v>549</v>
      </c>
      <c r="H158" s="14">
        <v>0</v>
      </c>
      <c r="I158" s="14">
        <v>3320</v>
      </c>
      <c r="J158" s="14">
        <f t="shared" si="5"/>
        <v>187741</v>
      </c>
    </row>
    <row r="159" spans="1:10" x14ac:dyDescent="0.25">
      <c r="A159" s="1">
        <v>17</v>
      </c>
      <c r="B159" s="1" t="s">
        <v>127</v>
      </c>
      <c r="C159" s="14">
        <v>35000</v>
      </c>
      <c r="D159" s="14">
        <v>0</v>
      </c>
      <c r="E159" s="14">
        <v>1000</v>
      </c>
      <c r="F159" s="1"/>
      <c r="G159" s="14"/>
      <c r="H159" s="14"/>
      <c r="I159" s="14"/>
      <c r="J159" s="14">
        <f t="shared" si="5"/>
        <v>36000</v>
      </c>
    </row>
    <row r="160" spans="1:10" x14ac:dyDescent="0.25">
      <c r="A160" s="1">
        <v>18</v>
      </c>
      <c r="B160" s="1" t="s">
        <v>129</v>
      </c>
      <c r="C160" s="14">
        <v>656914</v>
      </c>
      <c r="D160" s="14">
        <v>0</v>
      </c>
      <c r="E160" s="14">
        <v>0</v>
      </c>
      <c r="F160" s="1">
        <v>0</v>
      </c>
      <c r="G160" s="14">
        <v>0</v>
      </c>
      <c r="H160" s="14">
        <v>184351</v>
      </c>
      <c r="I160" s="14">
        <v>0</v>
      </c>
      <c r="J160" s="14">
        <f t="shared" si="5"/>
        <v>841265</v>
      </c>
    </row>
    <row r="161" spans="1:10" x14ac:dyDescent="0.25">
      <c r="A161" s="1">
        <v>19</v>
      </c>
      <c r="B161" s="1" t="s">
        <v>157</v>
      </c>
      <c r="C161" s="14">
        <v>6690</v>
      </c>
      <c r="D161" s="14">
        <v>0</v>
      </c>
      <c r="E161" s="14">
        <v>3000</v>
      </c>
      <c r="F161" s="1"/>
      <c r="G161" s="14"/>
      <c r="H161" s="14"/>
      <c r="I161" s="14"/>
      <c r="J161" s="14">
        <f t="shared" si="5"/>
        <v>9690</v>
      </c>
    </row>
    <row r="162" spans="1:10" x14ac:dyDescent="0.25">
      <c r="A162" s="1">
        <v>20</v>
      </c>
      <c r="B162" s="1" t="s">
        <v>158</v>
      </c>
      <c r="C162" s="14">
        <v>1360</v>
      </c>
      <c r="D162" s="14">
        <v>0</v>
      </c>
      <c r="E162" s="14">
        <v>0</v>
      </c>
      <c r="F162" s="1"/>
      <c r="G162" s="14"/>
      <c r="H162" s="14"/>
      <c r="I162" s="14"/>
      <c r="J162" s="14">
        <f t="shared" si="5"/>
        <v>1360</v>
      </c>
    </row>
    <row r="163" spans="1:10" x14ac:dyDescent="0.25">
      <c r="A163" s="66">
        <v>21</v>
      </c>
      <c r="B163" s="66" t="s">
        <v>209</v>
      </c>
      <c r="C163" s="14">
        <v>62573</v>
      </c>
      <c r="D163" s="14">
        <v>0</v>
      </c>
      <c r="E163" s="14">
        <v>0</v>
      </c>
      <c r="F163" s="66"/>
      <c r="G163" s="67"/>
      <c r="H163" s="67"/>
      <c r="I163" s="67"/>
      <c r="J163" s="67">
        <f t="shared" si="5"/>
        <v>62573</v>
      </c>
    </row>
    <row r="164" spans="1:10" x14ac:dyDescent="0.25">
      <c r="A164" s="66">
        <v>22</v>
      </c>
      <c r="B164" s="66" t="s">
        <v>210</v>
      </c>
      <c r="C164" s="14">
        <v>47610</v>
      </c>
      <c r="D164" s="14">
        <v>0</v>
      </c>
      <c r="E164" s="14">
        <v>0</v>
      </c>
      <c r="F164" s="66"/>
      <c r="G164" s="67"/>
      <c r="H164" s="67"/>
      <c r="I164" s="67"/>
      <c r="J164" s="67">
        <f t="shared" si="5"/>
        <v>47610</v>
      </c>
    </row>
    <row r="165" spans="1:10" x14ac:dyDescent="0.25">
      <c r="A165" s="3">
        <v>23</v>
      </c>
      <c r="B165" s="3" t="s">
        <v>130</v>
      </c>
      <c r="C165" s="15">
        <v>1790945</v>
      </c>
      <c r="D165" s="15">
        <v>0</v>
      </c>
      <c r="E165" s="15">
        <v>0</v>
      </c>
      <c r="F165" s="3">
        <v>0</v>
      </c>
      <c r="G165" s="15">
        <v>8450</v>
      </c>
      <c r="H165" s="15">
        <v>13150</v>
      </c>
      <c r="I165" s="15"/>
      <c r="J165" s="14">
        <f t="shared" si="5"/>
        <v>1812545</v>
      </c>
    </row>
    <row r="166" spans="1:10" x14ac:dyDescent="0.25">
      <c r="A166" s="1">
        <v>24</v>
      </c>
      <c r="B166" s="1" t="s">
        <v>216</v>
      </c>
      <c r="C166" s="14">
        <v>2389719</v>
      </c>
      <c r="D166" s="14">
        <v>0</v>
      </c>
      <c r="E166" s="14">
        <v>92109</v>
      </c>
      <c r="F166" s="1">
        <v>0</v>
      </c>
      <c r="G166" s="14">
        <v>86360</v>
      </c>
      <c r="H166" s="14">
        <v>42000</v>
      </c>
      <c r="I166" s="14">
        <v>89122</v>
      </c>
      <c r="J166" s="14">
        <f t="shared" si="5"/>
        <v>2699310</v>
      </c>
    </row>
    <row r="167" spans="1:10" x14ac:dyDescent="0.25">
      <c r="A167" s="1">
        <v>25</v>
      </c>
      <c r="B167" s="1" t="s">
        <v>282</v>
      </c>
      <c r="C167" s="14">
        <v>0</v>
      </c>
      <c r="D167" s="14">
        <v>4000</v>
      </c>
      <c r="E167" s="14">
        <v>4000</v>
      </c>
      <c r="F167" s="1">
        <v>0</v>
      </c>
      <c r="G167" s="14">
        <v>3500</v>
      </c>
      <c r="H167" s="14">
        <v>0</v>
      </c>
      <c r="I167" s="14">
        <v>0</v>
      </c>
      <c r="J167" s="14">
        <f t="shared" si="5"/>
        <v>11500</v>
      </c>
    </row>
    <row r="168" spans="1:10" x14ac:dyDescent="0.25">
      <c r="A168" s="1"/>
      <c r="B168" s="3" t="s">
        <v>93</v>
      </c>
      <c r="C168" s="15">
        <f>SUM(C139:C167)</f>
        <v>23218715</v>
      </c>
      <c r="D168" s="15">
        <f>SUM(D139:D167)</f>
        <v>4000</v>
      </c>
      <c r="E168" s="15">
        <f t="shared" ref="E168:H168" si="6">SUM(E139:E166)</f>
        <v>104439</v>
      </c>
      <c r="F168" s="15">
        <f t="shared" si="6"/>
        <v>0</v>
      </c>
      <c r="G168" s="15">
        <f>SUM(G139:G167)</f>
        <v>143424</v>
      </c>
      <c r="H168" s="15">
        <f t="shared" si="6"/>
        <v>250751</v>
      </c>
      <c r="I168" s="15">
        <f>SUM(I139:I166)</f>
        <v>94712</v>
      </c>
      <c r="J168" s="15">
        <f>SUM(J139:J167)</f>
        <v>23820041</v>
      </c>
    </row>
    <row r="171" spans="1:10" x14ac:dyDescent="0.25">
      <c r="A171" s="1"/>
      <c r="B171" s="3" t="s">
        <v>91</v>
      </c>
      <c r="C171" s="59" t="s">
        <v>277</v>
      </c>
      <c r="D171" s="13">
        <v>42736</v>
      </c>
      <c r="E171" s="13">
        <v>42767</v>
      </c>
      <c r="F171" s="13">
        <v>42795</v>
      </c>
      <c r="G171" s="13">
        <v>42826</v>
      </c>
      <c r="H171" s="13">
        <v>42856</v>
      </c>
      <c r="I171" s="13">
        <v>42887</v>
      </c>
      <c r="J171" s="1" t="s">
        <v>81</v>
      </c>
    </row>
    <row r="172" spans="1:10" x14ac:dyDescent="0.25">
      <c r="A172" s="1">
        <v>16</v>
      </c>
      <c r="B172" s="1" t="s">
        <v>92</v>
      </c>
      <c r="C172" s="1">
        <v>96115</v>
      </c>
      <c r="D172" s="14">
        <v>4591</v>
      </c>
      <c r="E172" s="14">
        <v>4529</v>
      </c>
      <c r="F172" s="1">
        <v>4597</v>
      </c>
      <c r="G172" s="14">
        <v>4522</v>
      </c>
      <c r="H172" s="27">
        <v>4668</v>
      </c>
      <c r="I172" s="27">
        <v>5275</v>
      </c>
      <c r="J172" s="14">
        <f t="shared" ref="J172:J178" si="7">SUM(C172:I172)</f>
        <v>124297</v>
      </c>
    </row>
    <row r="173" spans="1:10" x14ac:dyDescent="0.25">
      <c r="A173" s="1">
        <v>17</v>
      </c>
      <c r="B173" s="1" t="s">
        <v>97</v>
      </c>
      <c r="C173" s="1">
        <v>190000</v>
      </c>
      <c r="D173" s="14">
        <v>0</v>
      </c>
      <c r="E173" s="14">
        <v>0</v>
      </c>
      <c r="F173" s="1"/>
      <c r="G173" s="14"/>
      <c r="H173" s="27"/>
      <c r="I173" s="27"/>
      <c r="J173" s="14">
        <f t="shared" si="7"/>
        <v>190000</v>
      </c>
    </row>
    <row r="174" spans="1:10" x14ac:dyDescent="0.25">
      <c r="A174" s="1">
        <v>18</v>
      </c>
      <c r="B174" s="1" t="s">
        <v>98</v>
      </c>
      <c r="C174" s="1">
        <v>39790</v>
      </c>
      <c r="D174" s="14">
        <v>0</v>
      </c>
      <c r="E174" s="14">
        <v>1626</v>
      </c>
      <c r="F174" s="1">
        <v>0</v>
      </c>
      <c r="G174" s="14">
        <v>3310</v>
      </c>
      <c r="H174" s="27">
        <v>0</v>
      </c>
      <c r="I174" s="27">
        <v>3558</v>
      </c>
      <c r="J174" s="14">
        <f t="shared" si="7"/>
        <v>48284</v>
      </c>
    </row>
    <row r="175" spans="1:10" x14ac:dyDescent="0.25">
      <c r="A175" s="1">
        <v>19</v>
      </c>
      <c r="B175" s="1" t="s">
        <v>46</v>
      </c>
      <c r="C175" s="1">
        <v>57247</v>
      </c>
      <c r="D175" s="14"/>
      <c r="E175" s="14">
        <v>515</v>
      </c>
      <c r="F175" s="1">
        <v>0</v>
      </c>
      <c r="G175" s="14">
        <v>585</v>
      </c>
      <c r="H175" s="27">
        <v>0</v>
      </c>
      <c r="I175" s="27">
        <v>741</v>
      </c>
      <c r="J175" s="14">
        <f t="shared" si="7"/>
        <v>59088</v>
      </c>
    </row>
    <row r="176" spans="1:10" x14ac:dyDescent="0.25">
      <c r="A176" s="1">
        <v>20</v>
      </c>
      <c r="B176" s="1" t="s">
        <v>14</v>
      </c>
      <c r="C176" s="1">
        <v>71259</v>
      </c>
      <c r="D176" s="14">
        <v>0</v>
      </c>
      <c r="E176" s="14">
        <v>1713</v>
      </c>
      <c r="F176" s="1">
        <v>0</v>
      </c>
      <c r="G176" s="14">
        <v>2005</v>
      </c>
      <c r="H176" s="27">
        <v>1445</v>
      </c>
      <c r="I176" s="27"/>
      <c r="J176" s="14">
        <f t="shared" si="7"/>
        <v>76422</v>
      </c>
    </row>
    <row r="177" spans="1:10" x14ac:dyDescent="0.25">
      <c r="A177" s="1">
        <v>21</v>
      </c>
      <c r="B177" s="38" t="s">
        <v>275</v>
      </c>
      <c r="C177" s="78">
        <v>533500</v>
      </c>
      <c r="D177" s="77">
        <v>525000</v>
      </c>
      <c r="E177" s="77">
        <v>0</v>
      </c>
      <c r="F177" s="78">
        <v>50000</v>
      </c>
      <c r="G177" s="77"/>
      <c r="H177" s="79">
        <v>50000</v>
      </c>
      <c r="I177" s="79"/>
      <c r="J177" s="77">
        <f t="shared" si="7"/>
        <v>1158500</v>
      </c>
    </row>
    <row r="178" spans="1:10" x14ac:dyDescent="0.25">
      <c r="A178" s="1"/>
      <c r="B178" s="1"/>
      <c r="C178" s="1">
        <v>0</v>
      </c>
      <c r="D178" s="14">
        <v>0</v>
      </c>
      <c r="E178" s="14">
        <v>0</v>
      </c>
      <c r="F178" s="1"/>
      <c r="G178" s="14"/>
      <c r="H178" s="27"/>
      <c r="I178" s="27"/>
      <c r="J178" s="14">
        <f t="shared" si="7"/>
        <v>0</v>
      </c>
    </row>
    <row r="179" spans="1:10" x14ac:dyDescent="0.25">
      <c r="A179" s="1"/>
      <c r="B179" s="3" t="s">
        <v>93</v>
      </c>
      <c r="C179" s="3">
        <f>987911-533500</f>
        <v>454411</v>
      </c>
      <c r="D179" s="15">
        <v>4591</v>
      </c>
      <c r="E179" s="15">
        <f>SUM(E172:E178)</f>
        <v>8383</v>
      </c>
      <c r="F179" s="15">
        <f t="shared" ref="F179:H179" si="8">SUM(F172:F176)</f>
        <v>4597</v>
      </c>
      <c r="G179" s="15">
        <f t="shared" si="8"/>
        <v>10422</v>
      </c>
      <c r="H179" s="28">
        <f t="shared" si="8"/>
        <v>6113</v>
      </c>
      <c r="I179" s="28">
        <f>SUM(I172:I176)</f>
        <v>9574</v>
      </c>
      <c r="J179" s="74">
        <f>SUM(J172:J176)</f>
        <v>498091</v>
      </c>
    </row>
    <row r="180" spans="1:10" ht="15.75" x14ac:dyDescent="0.25">
      <c r="A180" s="1"/>
      <c r="B180" s="8" t="s">
        <v>94</v>
      </c>
      <c r="C180" s="16">
        <f t="shared" ref="C180:I180" si="9">C168+C179</f>
        <v>23673126</v>
      </c>
      <c r="D180" s="16">
        <f t="shared" si="9"/>
        <v>8591</v>
      </c>
      <c r="E180" s="16">
        <f t="shared" si="9"/>
        <v>112822</v>
      </c>
      <c r="F180" s="16">
        <f t="shared" si="9"/>
        <v>4597</v>
      </c>
      <c r="G180" s="16">
        <f t="shared" si="9"/>
        <v>153846</v>
      </c>
      <c r="H180" s="16">
        <f t="shared" si="9"/>
        <v>256864</v>
      </c>
      <c r="I180" s="16">
        <f t="shared" si="9"/>
        <v>104286</v>
      </c>
      <c r="J180" s="16">
        <f>SUM(J168+J179)</f>
        <v>24318132</v>
      </c>
    </row>
    <row r="187" spans="1:10" ht="18.75" x14ac:dyDescent="0.3">
      <c r="B187" s="5"/>
    </row>
    <row r="188" spans="1:10" ht="18.75" x14ac:dyDescent="0.3">
      <c r="B188" s="5"/>
    </row>
    <row r="189" spans="1:10" ht="18.75" x14ac:dyDescent="0.3">
      <c r="B189" s="5"/>
    </row>
    <row r="190" spans="1:10" ht="18.75" x14ac:dyDescent="0.3">
      <c r="B190" s="5"/>
    </row>
    <row r="191" spans="1:10" ht="18.75" x14ac:dyDescent="0.3">
      <c r="B191" s="5"/>
    </row>
    <row r="192" spans="1:10" x14ac:dyDescent="0.25">
      <c r="A192" s="61"/>
      <c r="B192" s="61"/>
      <c r="C192" s="80"/>
      <c r="D192" s="60"/>
      <c r="E192" s="60"/>
      <c r="F192" s="60"/>
      <c r="G192" s="61"/>
    </row>
    <row r="193" spans="1:10" x14ac:dyDescent="0.25">
      <c r="A193" s="25"/>
      <c r="B193" s="22"/>
      <c r="C193" s="81"/>
      <c r="D193" s="22"/>
      <c r="E193" s="22"/>
      <c r="F193" s="22"/>
      <c r="G193" s="82"/>
    </row>
    <row r="194" spans="1:10" x14ac:dyDescent="0.25">
      <c r="A194" s="25"/>
      <c r="B194" s="22"/>
      <c r="C194" s="81"/>
      <c r="D194" s="22"/>
      <c r="E194" s="22"/>
      <c r="F194" s="22"/>
      <c r="G194" s="82"/>
    </row>
    <row r="195" spans="1:10" x14ac:dyDescent="0.25">
      <c r="A195" s="25"/>
      <c r="B195" s="22"/>
      <c r="C195" s="81"/>
      <c r="D195" s="22"/>
      <c r="E195" s="22"/>
      <c r="F195" s="22"/>
      <c r="G195" s="82"/>
    </row>
    <row r="196" spans="1:10" x14ac:dyDescent="0.25">
      <c r="A196" s="25"/>
      <c r="B196" s="22"/>
      <c r="C196" s="81"/>
      <c r="D196" s="22"/>
      <c r="E196" s="22"/>
      <c r="F196" s="22"/>
      <c r="G196" s="82"/>
    </row>
    <row r="197" spans="1:10" x14ac:dyDescent="0.25">
      <c r="A197" s="25"/>
      <c r="B197" s="22"/>
      <c r="C197" s="81"/>
      <c r="D197" s="22"/>
      <c r="E197" s="22"/>
      <c r="F197" s="22"/>
      <c r="G197" s="82"/>
    </row>
    <row r="198" spans="1:10" x14ac:dyDescent="0.25">
      <c r="A198" s="25"/>
      <c r="B198" s="25"/>
      <c r="C198" s="83"/>
      <c r="D198" s="22"/>
      <c r="E198" s="22"/>
      <c r="F198" s="22"/>
      <c r="G198" s="84"/>
    </row>
    <row r="199" spans="1:10" x14ac:dyDescent="0.25">
      <c r="A199" s="22"/>
      <c r="B199" s="85"/>
      <c r="C199" s="86"/>
      <c r="D199" s="86"/>
      <c r="E199" s="86"/>
      <c r="F199" s="86"/>
      <c r="G199" s="86"/>
    </row>
    <row r="203" spans="1:10" ht="18.75" x14ac:dyDescent="0.3">
      <c r="B203" s="5" t="s">
        <v>80</v>
      </c>
    </row>
    <row r="204" spans="1:10" ht="18.75" x14ac:dyDescent="0.3">
      <c r="B204" s="5" t="s">
        <v>64</v>
      </c>
    </row>
    <row r="205" spans="1:10" ht="18.75" x14ac:dyDescent="0.3">
      <c r="B205" s="5" t="s">
        <v>271</v>
      </c>
    </row>
    <row r="206" spans="1:10" ht="18.75" x14ac:dyDescent="0.3">
      <c r="B206" s="5" t="s">
        <v>293</v>
      </c>
    </row>
    <row r="207" spans="1:10" ht="18.75" x14ac:dyDescent="0.3">
      <c r="B207" s="5"/>
    </row>
    <row r="208" spans="1:10" x14ac:dyDescent="0.25">
      <c r="A208" s="3" t="s">
        <v>163</v>
      </c>
      <c r="B208" s="3" t="s">
        <v>164</v>
      </c>
      <c r="C208" s="59" t="s">
        <v>277</v>
      </c>
      <c r="D208" s="13">
        <v>42736</v>
      </c>
      <c r="E208" s="13">
        <v>42767</v>
      </c>
      <c r="F208" s="13">
        <v>42795</v>
      </c>
      <c r="G208" s="13">
        <v>42826</v>
      </c>
      <c r="H208" s="13">
        <v>42856</v>
      </c>
      <c r="I208" s="13">
        <v>42887</v>
      </c>
      <c r="J208" s="3" t="s">
        <v>166</v>
      </c>
    </row>
    <row r="209" spans="1:10" x14ac:dyDescent="0.25">
      <c r="A209" s="38">
        <v>1</v>
      </c>
      <c r="B209" s="1" t="s">
        <v>199</v>
      </c>
      <c r="C209" s="14">
        <v>150000</v>
      </c>
      <c r="D209" s="1"/>
      <c r="E209" s="1"/>
      <c r="F209" s="1"/>
      <c r="G209" s="70"/>
      <c r="H209" s="1"/>
      <c r="I209" s="1"/>
      <c r="J209" s="70">
        <f>SUM(C209:I209)</f>
        <v>150000</v>
      </c>
    </row>
    <row r="210" spans="1:10" x14ac:dyDescent="0.25">
      <c r="A210" s="38"/>
      <c r="B210" s="1" t="s">
        <v>202</v>
      </c>
      <c r="C210" s="14">
        <v>90000</v>
      </c>
      <c r="D210" s="1"/>
      <c r="E210" s="1"/>
      <c r="F210" s="1"/>
      <c r="G210" s="70"/>
      <c r="H210" s="1"/>
      <c r="I210" s="1"/>
      <c r="J210" s="70">
        <f t="shared" ref="J210:J214" si="10">SUM(C210:I210)</f>
        <v>90000</v>
      </c>
    </row>
    <row r="211" spans="1:10" x14ac:dyDescent="0.25">
      <c r="A211" s="38">
        <v>2</v>
      </c>
      <c r="B211" s="1" t="s">
        <v>223</v>
      </c>
      <c r="C211" s="14">
        <v>602000</v>
      </c>
      <c r="D211" s="1"/>
      <c r="E211" s="1"/>
      <c r="F211" s="1"/>
      <c r="G211" s="70"/>
      <c r="H211" s="1"/>
      <c r="I211" s="1"/>
      <c r="J211" s="70">
        <f t="shared" si="10"/>
        <v>602000</v>
      </c>
    </row>
    <row r="212" spans="1:10" x14ac:dyDescent="0.25">
      <c r="A212" s="38">
        <v>3</v>
      </c>
      <c r="B212" s="1" t="s">
        <v>222</v>
      </c>
      <c r="C212" s="14">
        <v>450000</v>
      </c>
      <c r="D212" s="1">
        <v>0</v>
      </c>
      <c r="E212" s="1">
        <v>0</v>
      </c>
      <c r="F212" s="1">
        <v>0</v>
      </c>
      <c r="G212" s="70">
        <v>0</v>
      </c>
      <c r="H212" s="1">
        <v>0</v>
      </c>
      <c r="I212" s="1">
        <v>115000</v>
      </c>
      <c r="J212" s="70">
        <f t="shared" si="10"/>
        <v>565000</v>
      </c>
    </row>
    <row r="213" spans="1:10" x14ac:dyDescent="0.25">
      <c r="A213" s="38">
        <v>4</v>
      </c>
      <c r="B213" s="1" t="s">
        <v>231</v>
      </c>
      <c r="C213" s="14">
        <v>416000</v>
      </c>
      <c r="D213" s="1"/>
      <c r="E213" s="1"/>
      <c r="F213" s="1"/>
      <c r="G213" s="70"/>
      <c r="H213" s="1"/>
      <c r="I213" s="1"/>
      <c r="J213" s="70">
        <f t="shared" si="10"/>
        <v>416000</v>
      </c>
    </row>
    <row r="214" spans="1:10" x14ac:dyDescent="0.25">
      <c r="A214" s="38">
        <v>5</v>
      </c>
      <c r="B214" s="38" t="s">
        <v>241</v>
      </c>
      <c r="C214" s="27">
        <v>700000</v>
      </c>
      <c r="D214" s="1"/>
      <c r="E214" s="1"/>
      <c r="F214" s="1"/>
      <c r="G214" s="72"/>
      <c r="H214" s="1"/>
      <c r="I214" s="1"/>
      <c r="J214" s="70">
        <f t="shared" si="10"/>
        <v>700000</v>
      </c>
    </row>
    <row r="215" spans="1:10" x14ac:dyDescent="0.25">
      <c r="A215" s="38"/>
      <c r="B215" s="38"/>
      <c r="C215" s="27"/>
      <c r="D215" s="1"/>
      <c r="E215" s="1"/>
      <c r="F215" s="1"/>
      <c r="G215" s="72"/>
      <c r="H215" s="1"/>
      <c r="I215" s="1"/>
      <c r="J215" s="70"/>
    </row>
    <row r="216" spans="1:10" x14ac:dyDescent="0.25">
      <c r="A216" s="1"/>
      <c r="B216" s="71" t="s">
        <v>138</v>
      </c>
      <c r="C216" s="15">
        <f>SUM(C209:C214)</f>
        <v>2408000</v>
      </c>
      <c r="D216" s="15">
        <f>SUM(D209:D214)</f>
        <v>0</v>
      </c>
      <c r="E216" s="15">
        <f>SUM(E209:E214)</f>
        <v>0</v>
      </c>
      <c r="F216" s="15">
        <f>SUM(F209:F214)</f>
        <v>0</v>
      </c>
      <c r="G216" s="15"/>
      <c r="H216" s="1"/>
      <c r="I216" s="1"/>
      <c r="J216" s="15">
        <f>SUM(J209:J214)</f>
        <v>2523000</v>
      </c>
    </row>
    <row r="217" spans="1:10" x14ac:dyDescent="0.25">
      <c r="A217" s="22"/>
      <c r="B217" s="85"/>
      <c r="C217" s="86"/>
      <c r="D217" s="86"/>
      <c r="E217" s="86"/>
      <c r="F217" s="86"/>
      <c r="G217" s="86"/>
      <c r="H217" s="22"/>
      <c r="I217" s="22"/>
      <c r="J217" s="86"/>
    </row>
    <row r="218" spans="1:10" x14ac:dyDescent="0.25">
      <c r="A218" s="22"/>
      <c r="B218" s="85"/>
      <c r="C218" s="86"/>
      <c r="D218" s="86"/>
      <c r="E218" s="86"/>
      <c r="F218" s="86"/>
      <c r="G218" s="86"/>
      <c r="H218" s="22"/>
      <c r="I218" s="22"/>
      <c r="J218" s="86"/>
    </row>
    <row r="219" spans="1:10" ht="18.75" x14ac:dyDescent="0.3">
      <c r="B219" s="5" t="s">
        <v>80</v>
      </c>
    </row>
    <row r="220" spans="1:10" ht="18.75" x14ac:dyDescent="0.3">
      <c r="B220" s="5" t="s">
        <v>64</v>
      </c>
    </row>
    <row r="221" spans="1:10" ht="18.75" x14ac:dyDescent="0.3">
      <c r="B221" s="5" t="s">
        <v>272</v>
      </c>
    </row>
    <row r="222" spans="1:10" ht="18.75" x14ac:dyDescent="0.3">
      <c r="B222" s="5" t="s">
        <v>293</v>
      </c>
    </row>
    <row r="223" spans="1:10" ht="18.75" x14ac:dyDescent="0.3">
      <c r="B223" s="5"/>
    </row>
    <row r="224" spans="1:10" x14ac:dyDescent="0.25">
      <c r="A224" s="3" t="s">
        <v>163</v>
      </c>
      <c r="B224" s="3" t="s">
        <v>164</v>
      </c>
      <c r="C224" s="59" t="s">
        <v>277</v>
      </c>
      <c r="D224" s="13">
        <v>42736</v>
      </c>
      <c r="E224" s="13">
        <v>42767</v>
      </c>
      <c r="F224" s="13">
        <v>42795</v>
      </c>
      <c r="G224" s="13">
        <v>42826</v>
      </c>
      <c r="H224" s="13">
        <v>42856</v>
      </c>
      <c r="I224" s="13">
        <v>42887</v>
      </c>
      <c r="J224" s="3" t="s">
        <v>166</v>
      </c>
    </row>
    <row r="225" spans="1:10" x14ac:dyDescent="0.25">
      <c r="A225" s="38">
        <v>1</v>
      </c>
      <c r="B225" s="1" t="s">
        <v>199</v>
      </c>
      <c r="C225" s="14"/>
      <c r="D225" s="1">
        <v>0</v>
      </c>
      <c r="E225" s="1">
        <v>0</v>
      </c>
      <c r="F225" s="1"/>
      <c r="G225" s="70"/>
      <c r="H225" s="1"/>
      <c r="I225" s="1"/>
      <c r="J225" s="70">
        <f>SUM(C225:I225)</f>
        <v>0</v>
      </c>
    </row>
    <row r="226" spans="1:10" x14ac:dyDescent="0.25">
      <c r="A226" s="38"/>
      <c r="B226" s="1" t="s">
        <v>202</v>
      </c>
      <c r="C226" s="14">
        <v>0</v>
      </c>
      <c r="D226" s="1">
        <v>0</v>
      </c>
      <c r="E226" s="1">
        <v>0</v>
      </c>
      <c r="F226" s="1"/>
      <c r="G226" s="70"/>
      <c r="H226" s="1"/>
      <c r="I226" s="1"/>
      <c r="J226" s="70">
        <f t="shared" ref="J226:J230" si="11">SUM(C226:I226)</f>
        <v>0</v>
      </c>
    </row>
    <row r="227" spans="1:10" x14ac:dyDescent="0.25">
      <c r="A227" s="38">
        <v>2</v>
      </c>
      <c r="B227" s="1" t="s">
        <v>223</v>
      </c>
      <c r="C227" s="14">
        <v>0</v>
      </c>
      <c r="D227" s="1">
        <v>500000</v>
      </c>
      <c r="E227" s="1">
        <v>0</v>
      </c>
      <c r="F227" s="1"/>
      <c r="G227" s="70"/>
      <c r="H227" s="1"/>
      <c r="I227" s="1"/>
      <c r="J227" s="70">
        <f t="shared" si="11"/>
        <v>500000</v>
      </c>
    </row>
    <row r="228" spans="1:10" x14ac:dyDescent="0.25">
      <c r="A228" s="38">
        <v>3</v>
      </c>
      <c r="B228" s="1" t="s">
        <v>222</v>
      </c>
      <c r="C228" s="14">
        <v>50000</v>
      </c>
      <c r="D228" s="1">
        <v>25000</v>
      </c>
      <c r="E228" s="1">
        <v>0</v>
      </c>
      <c r="F228" s="1">
        <v>50000</v>
      </c>
      <c r="G228" s="70">
        <v>0</v>
      </c>
      <c r="H228" s="1">
        <v>50000</v>
      </c>
      <c r="I228" s="1"/>
      <c r="J228" s="70">
        <f t="shared" si="11"/>
        <v>175000</v>
      </c>
    </row>
    <row r="229" spans="1:10" x14ac:dyDescent="0.25">
      <c r="A229" s="38">
        <v>4</v>
      </c>
      <c r="B229" s="1" t="s">
        <v>231</v>
      </c>
      <c r="C229" s="14">
        <v>0</v>
      </c>
      <c r="D229" s="1">
        <v>0</v>
      </c>
      <c r="E229" s="1">
        <v>0</v>
      </c>
      <c r="F229" s="1"/>
      <c r="G229" s="70"/>
      <c r="H229" s="1"/>
      <c r="I229" s="1"/>
      <c r="J229" s="70">
        <f t="shared" si="11"/>
        <v>0</v>
      </c>
    </row>
    <row r="230" spans="1:10" x14ac:dyDescent="0.25">
      <c r="A230" s="38">
        <v>5</v>
      </c>
      <c r="B230" s="38" t="s">
        <v>241</v>
      </c>
      <c r="C230" s="27">
        <v>483500</v>
      </c>
      <c r="D230" s="70"/>
      <c r="E230" s="1">
        <v>0</v>
      </c>
      <c r="F230" s="1"/>
      <c r="G230" s="72"/>
      <c r="H230" s="1"/>
      <c r="I230" s="1"/>
      <c r="J230" s="70">
        <f t="shared" si="11"/>
        <v>483500</v>
      </c>
    </row>
    <row r="231" spans="1:10" x14ac:dyDescent="0.25">
      <c r="A231" s="38"/>
      <c r="B231" s="38"/>
      <c r="C231" s="27"/>
      <c r="D231" s="70"/>
      <c r="E231" s="1"/>
      <c r="F231" s="1"/>
      <c r="G231" s="72"/>
      <c r="H231" s="1"/>
      <c r="I231" s="1"/>
      <c r="J231" s="70"/>
    </row>
    <row r="232" spans="1:10" x14ac:dyDescent="0.25">
      <c r="A232" s="1"/>
      <c r="B232" s="71" t="s">
        <v>138</v>
      </c>
      <c r="C232" s="15">
        <f>SUM(C225:C230)</f>
        <v>533500</v>
      </c>
      <c r="D232" s="15">
        <f>SUM(D225:D230)</f>
        <v>525000</v>
      </c>
      <c r="E232" s="15">
        <f>SUM(E225:E230)</f>
        <v>0</v>
      </c>
      <c r="F232" s="15">
        <f>SUM(F225:F230)</f>
        <v>50000</v>
      </c>
      <c r="G232" s="15"/>
      <c r="H232" s="1"/>
      <c r="I232" s="1"/>
      <c r="J232" s="70">
        <f>SUM(J225:J230)</f>
        <v>1158500</v>
      </c>
    </row>
    <row r="238" spans="1:10" ht="18.75" x14ac:dyDescent="0.3">
      <c r="B238" s="5" t="s">
        <v>80</v>
      </c>
    </row>
    <row r="239" spans="1:10" ht="18.75" x14ac:dyDescent="0.3">
      <c r="B239" s="5" t="s">
        <v>64</v>
      </c>
    </row>
    <row r="240" spans="1:10" ht="18.75" x14ac:dyDescent="0.3">
      <c r="B240" s="5" t="s">
        <v>279</v>
      </c>
    </row>
    <row r="241" spans="1:10" ht="18.75" x14ac:dyDescent="0.3">
      <c r="B241" s="5" t="s">
        <v>293</v>
      </c>
    </row>
    <row r="243" spans="1:10" x14ac:dyDescent="0.25">
      <c r="A243" s="3" t="s">
        <v>163</v>
      </c>
      <c r="B243" s="3" t="s">
        <v>164</v>
      </c>
      <c r="C243" s="59" t="s">
        <v>281</v>
      </c>
      <c r="D243" s="13" t="s">
        <v>280</v>
      </c>
      <c r="E243" s="13" t="s">
        <v>280</v>
      </c>
      <c r="F243" s="13" t="s">
        <v>280</v>
      </c>
      <c r="G243" s="13"/>
      <c r="H243" s="13"/>
      <c r="I243" s="13"/>
      <c r="J243" s="3" t="s">
        <v>166</v>
      </c>
    </row>
    <row r="244" spans="1:10" x14ac:dyDescent="0.25">
      <c r="A244" s="38">
        <v>1</v>
      </c>
      <c r="B244" s="1" t="s">
        <v>199</v>
      </c>
      <c r="C244" s="14">
        <v>150000</v>
      </c>
      <c r="D244" s="1">
        <v>0</v>
      </c>
      <c r="E244" s="1"/>
      <c r="F244" s="1"/>
      <c r="G244" s="70"/>
      <c r="H244" s="1"/>
      <c r="I244" s="1"/>
      <c r="J244" s="70">
        <f>C244-D244-E244-F244-G244-H244-I244</f>
        <v>150000</v>
      </c>
    </row>
    <row r="245" spans="1:10" x14ac:dyDescent="0.25">
      <c r="A245" s="38"/>
      <c r="B245" s="1" t="s">
        <v>202</v>
      </c>
      <c r="C245" s="14">
        <v>90000</v>
      </c>
      <c r="D245" s="1">
        <v>0</v>
      </c>
      <c r="E245" s="1"/>
      <c r="F245" s="1"/>
      <c r="G245" s="70"/>
      <c r="H245" s="1"/>
      <c r="I245" s="1"/>
      <c r="J245" s="70">
        <f t="shared" ref="J245:J249" si="12">C245-D245-E245-F245-G245-H245-I245</f>
        <v>90000</v>
      </c>
    </row>
    <row r="246" spans="1:10" x14ac:dyDescent="0.25">
      <c r="A246" s="38">
        <v>2</v>
      </c>
      <c r="B246" s="1" t="s">
        <v>223</v>
      </c>
      <c r="C246" s="14">
        <v>602000</v>
      </c>
      <c r="D246" s="1">
        <v>500000</v>
      </c>
      <c r="E246" s="1"/>
      <c r="F246" s="1"/>
      <c r="G246" s="70"/>
      <c r="H246" s="1"/>
      <c r="I246" s="1"/>
      <c r="J246" s="70">
        <f t="shared" si="12"/>
        <v>102000</v>
      </c>
    </row>
    <row r="247" spans="1:10" x14ac:dyDescent="0.25">
      <c r="A247" s="38">
        <v>3</v>
      </c>
      <c r="B247" s="1" t="s">
        <v>222</v>
      </c>
      <c r="C247" s="14">
        <v>565000</v>
      </c>
      <c r="D247" s="1">
        <v>75000</v>
      </c>
      <c r="E247" s="1">
        <v>50000</v>
      </c>
      <c r="F247" s="1">
        <v>50000</v>
      </c>
      <c r="G247" s="70"/>
      <c r="H247" s="1"/>
      <c r="I247" s="1"/>
      <c r="J247" s="70">
        <f t="shared" si="12"/>
        <v>390000</v>
      </c>
    </row>
    <row r="248" spans="1:10" x14ac:dyDescent="0.25">
      <c r="A248" s="38">
        <v>4</v>
      </c>
      <c r="B248" s="1" t="s">
        <v>231</v>
      </c>
      <c r="C248" s="14">
        <v>416000</v>
      </c>
      <c r="D248" s="1">
        <v>0</v>
      </c>
      <c r="E248" s="1"/>
      <c r="F248" s="1"/>
      <c r="G248" s="70"/>
      <c r="H248" s="1"/>
      <c r="I248" s="1"/>
      <c r="J248" s="70">
        <f t="shared" si="12"/>
        <v>416000</v>
      </c>
    </row>
    <row r="249" spans="1:10" x14ac:dyDescent="0.25">
      <c r="A249" s="38">
        <v>5</v>
      </c>
      <c r="B249" s="38" t="s">
        <v>241</v>
      </c>
      <c r="C249" s="27">
        <v>700000</v>
      </c>
      <c r="D249" s="1">
        <v>483500</v>
      </c>
      <c r="E249" s="1"/>
      <c r="F249" s="1"/>
      <c r="G249" s="72"/>
      <c r="H249" s="1"/>
      <c r="I249" s="1"/>
      <c r="J249" s="70">
        <f t="shared" si="12"/>
        <v>216500</v>
      </c>
    </row>
    <row r="250" spans="1:10" x14ac:dyDescent="0.25">
      <c r="A250" s="1"/>
      <c r="B250" s="71" t="s">
        <v>138</v>
      </c>
      <c r="C250" s="15">
        <f>SUM(C244:C249)</f>
        <v>2523000</v>
      </c>
      <c r="D250" s="15">
        <f>SUM(D244:D249)</f>
        <v>1058500</v>
      </c>
      <c r="E250" s="15">
        <f>SUM(E244:E249)</f>
        <v>50000</v>
      </c>
      <c r="F250" s="15">
        <f>SUM(F244:F249)</f>
        <v>50000</v>
      </c>
      <c r="G250" s="15"/>
      <c r="H250" s="1"/>
      <c r="I250" s="1"/>
      <c r="J250" s="15">
        <f>SUM(J244:J249)</f>
        <v>1364500</v>
      </c>
    </row>
  </sheetData>
  <pageMargins left="0.7" right="0.7" top="0.75" bottom="0.75" header="0.3" footer="0.3"/>
  <pageSetup paperSize="9" scale="9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8"/>
  <sheetViews>
    <sheetView topLeftCell="A100" workbookViewId="0">
      <selection activeCell="F13" sqref="F13"/>
    </sheetView>
  </sheetViews>
  <sheetFormatPr defaultRowHeight="15" x14ac:dyDescent="0.25"/>
  <cols>
    <col min="1" max="1" width="5.5703125" customWidth="1"/>
    <col min="2" max="2" width="36.85546875" customWidth="1"/>
    <col min="3" max="3" width="12.42578125" customWidth="1"/>
    <col min="4" max="4" width="10.5703125" customWidth="1"/>
    <col min="5" max="5" width="11.28515625" customWidth="1"/>
    <col min="6" max="6" width="10.140625" customWidth="1"/>
    <col min="7" max="7" width="10.5703125" customWidth="1"/>
    <col min="8" max="8" width="10.28515625" customWidth="1"/>
    <col min="9" max="9" width="10.7109375" customWidth="1"/>
    <col min="10" max="10" width="14.140625" customWidth="1"/>
  </cols>
  <sheetData>
    <row r="1" spans="1:10" ht="12.75" customHeight="1" x14ac:dyDescent="0.25">
      <c r="A1" s="94"/>
      <c r="B1" s="54" t="s">
        <v>80</v>
      </c>
      <c r="C1" s="54"/>
      <c r="D1" s="54"/>
      <c r="E1" s="94"/>
      <c r="F1" s="94"/>
      <c r="G1" s="94"/>
      <c r="H1" s="94"/>
      <c r="I1" s="94"/>
      <c r="J1" s="94"/>
    </row>
    <row r="2" spans="1:10" ht="12" customHeight="1" x14ac:dyDescent="0.25">
      <c r="A2" s="94"/>
      <c r="B2" s="54" t="s">
        <v>64</v>
      </c>
      <c r="C2" s="54"/>
      <c r="D2" s="54"/>
      <c r="E2" s="94"/>
      <c r="F2" s="94"/>
      <c r="G2" s="94"/>
      <c r="H2" s="94"/>
      <c r="I2" s="94"/>
      <c r="J2" s="94"/>
    </row>
    <row r="3" spans="1:10" ht="13.5" customHeight="1" x14ac:dyDescent="0.25">
      <c r="A3" s="94"/>
      <c r="B3" s="54" t="s">
        <v>298</v>
      </c>
      <c r="C3" s="54"/>
      <c r="D3" s="54"/>
      <c r="E3" s="94"/>
      <c r="F3" s="94"/>
      <c r="G3" s="94"/>
      <c r="H3" s="94"/>
      <c r="I3" s="94"/>
      <c r="J3" s="94"/>
    </row>
    <row r="4" spans="1:10" ht="15.75" x14ac:dyDescent="0.25">
      <c r="A4" s="1" t="s">
        <v>21</v>
      </c>
      <c r="B4" s="8" t="s">
        <v>6</v>
      </c>
      <c r="C4" s="59" t="s">
        <v>299</v>
      </c>
      <c r="D4" s="13">
        <v>42917</v>
      </c>
      <c r="E4" s="13">
        <v>42948</v>
      </c>
      <c r="F4" s="13">
        <v>42979</v>
      </c>
      <c r="G4" s="13">
        <v>43009</v>
      </c>
      <c r="H4" s="13">
        <v>43040</v>
      </c>
      <c r="I4" s="13">
        <v>43070</v>
      </c>
      <c r="J4" s="1" t="s">
        <v>81</v>
      </c>
    </row>
    <row r="5" spans="1:10" x14ac:dyDescent="0.25">
      <c r="A5" s="1">
        <v>1</v>
      </c>
      <c r="B5" s="1" t="s">
        <v>83</v>
      </c>
      <c r="C5" s="27">
        <v>16100</v>
      </c>
      <c r="D5" s="27">
        <v>0</v>
      </c>
      <c r="E5" s="27">
        <v>0</v>
      </c>
      <c r="F5" s="38"/>
      <c r="G5" s="27"/>
      <c r="H5" s="27"/>
      <c r="I5" s="27"/>
      <c r="J5" s="27">
        <f t="shared" ref="J5:J34" si="0">SUM(C5:I5)</f>
        <v>16100</v>
      </c>
    </row>
    <row r="6" spans="1:10" ht="15.75" x14ac:dyDescent="0.25">
      <c r="A6" s="1">
        <v>2</v>
      </c>
      <c r="B6" s="17" t="s">
        <v>95</v>
      </c>
      <c r="C6" s="68">
        <v>847900</v>
      </c>
      <c r="D6" s="27">
        <v>0</v>
      </c>
      <c r="E6" s="27">
        <v>0</v>
      </c>
      <c r="F6" s="38"/>
      <c r="G6" s="27"/>
      <c r="H6" s="27"/>
      <c r="I6" s="27"/>
      <c r="J6" s="27">
        <f t="shared" si="0"/>
        <v>847900</v>
      </c>
    </row>
    <row r="7" spans="1:10" x14ac:dyDescent="0.25">
      <c r="A7" s="1">
        <v>3</v>
      </c>
      <c r="B7" s="1" t="s">
        <v>82</v>
      </c>
      <c r="C7" s="27">
        <v>115500</v>
      </c>
      <c r="D7" s="27">
        <v>0</v>
      </c>
      <c r="E7" s="27">
        <v>0</v>
      </c>
      <c r="F7" s="38"/>
      <c r="G7" s="27"/>
      <c r="H7" s="27"/>
      <c r="I7" s="27"/>
      <c r="J7" s="27">
        <f t="shared" si="0"/>
        <v>115500</v>
      </c>
    </row>
    <row r="8" spans="1:10" x14ac:dyDescent="0.25">
      <c r="A8" s="1">
        <v>4</v>
      </c>
      <c r="B8" s="1" t="s">
        <v>107</v>
      </c>
      <c r="C8" s="27">
        <v>320120</v>
      </c>
      <c r="D8" s="27">
        <v>0</v>
      </c>
      <c r="E8" s="27">
        <v>0</v>
      </c>
      <c r="F8" s="38"/>
      <c r="G8" s="27"/>
      <c r="H8" s="27"/>
      <c r="I8" s="27"/>
      <c r="J8" s="27">
        <f t="shared" si="0"/>
        <v>320120</v>
      </c>
    </row>
    <row r="9" spans="1:10" x14ac:dyDescent="0.25">
      <c r="A9" s="1"/>
      <c r="B9" s="1" t="s">
        <v>123</v>
      </c>
      <c r="C9" s="27">
        <v>571500</v>
      </c>
      <c r="D9" s="27">
        <v>0</v>
      </c>
      <c r="E9" s="27">
        <v>0</v>
      </c>
      <c r="F9" s="38"/>
      <c r="G9" s="27"/>
      <c r="H9" s="27"/>
      <c r="I9" s="27"/>
      <c r="J9" s="27">
        <f t="shared" si="0"/>
        <v>571500</v>
      </c>
    </row>
    <row r="10" spans="1:10" x14ac:dyDescent="0.25">
      <c r="A10" s="1">
        <v>5</v>
      </c>
      <c r="B10" s="1" t="s">
        <v>84</v>
      </c>
      <c r="C10" s="27">
        <v>140858</v>
      </c>
      <c r="D10" s="27">
        <v>0</v>
      </c>
      <c r="E10" s="27">
        <v>0</v>
      </c>
      <c r="F10" s="38"/>
      <c r="G10" s="27"/>
      <c r="H10" s="27"/>
      <c r="I10" s="27"/>
      <c r="J10" s="27">
        <f t="shared" si="0"/>
        <v>140858</v>
      </c>
    </row>
    <row r="11" spans="1:10" x14ac:dyDescent="0.25">
      <c r="A11" s="1">
        <v>6</v>
      </c>
      <c r="B11" s="1" t="s">
        <v>109</v>
      </c>
      <c r="C11" s="27">
        <v>7464795</v>
      </c>
      <c r="D11" s="27">
        <v>0</v>
      </c>
      <c r="E11" s="27">
        <v>0</v>
      </c>
      <c r="F11" s="38"/>
      <c r="G11" s="27"/>
      <c r="H11" s="27">
        <v>277250</v>
      </c>
      <c r="I11" s="27">
        <v>337200</v>
      </c>
      <c r="J11" s="27">
        <f t="shared" si="0"/>
        <v>8079245</v>
      </c>
    </row>
    <row r="12" spans="1:10" x14ac:dyDescent="0.25">
      <c r="A12" s="1">
        <v>7</v>
      </c>
      <c r="B12" s="1" t="s">
        <v>37</v>
      </c>
      <c r="C12" s="27">
        <v>2645405</v>
      </c>
      <c r="D12" s="27">
        <v>0</v>
      </c>
      <c r="E12" s="27">
        <v>0</v>
      </c>
      <c r="F12" s="38">
        <v>0</v>
      </c>
      <c r="G12" s="27">
        <v>0</v>
      </c>
      <c r="H12" s="27">
        <v>50000</v>
      </c>
      <c r="I12" s="27">
        <v>100000</v>
      </c>
      <c r="J12" s="27">
        <f t="shared" si="0"/>
        <v>2795405</v>
      </c>
    </row>
    <row r="13" spans="1:10" x14ac:dyDescent="0.25">
      <c r="A13" s="1">
        <v>8</v>
      </c>
      <c r="B13" s="1" t="s">
        <v>111</v>
      </c>
      <c r="C13" s="27">
        <v>3266984</v>
      </c>
      <c r="D13" s="27">
        <v>0</v>
      </c>
      <c r="E13" s="27">
        <v>0</v>
      </c>
      <c r="F13" s="38"/>
      <c r="G13" s="27"/>
      <c r="H13" s="27">
        <v>102225</v>
      </c>
      <c r="I13" s="27">
        <v>116885</v>
      </c>
      <c r="J13" s="27">
        <f t="shared" si="0"/>
        <v>3486094</v>
      </c>
    </row>
    <row r="14" spans="1:10" x14ac:dyDescent="0.25">
      <c r="A14" s="1">
        <v>9</v>
      </c>
      <c r="B14" s="1" t="s">
        <v>96</v>
      </c>
      <c r="C14" s="27">
        <v>652150</v>
      </c>
      <c r="D14" s="27">
        <v>0</v>
      </c>
      <c r="E14" s="27">
        <v>0</v>
      </c>
      <c r="F14" s="38">
        <v>0</v>
      </c>
      <c r="G14" s="27">
        <v>0</v>
      </c>
      <c r="H14" s="27"/>
      <c r="I14" s="27"/>
      <c r="J14" s="27">
        <f t="shared" si="0"/>
        <v>652150</v>
      </c>
    </row>
    <row r="15" spans="1:10" x14ac:dyDescent="0.25">
      <c r="A15" s="1">
        <v>10</v>
      </c>
      <c r="B15" s="1" t="s">
        <v>217</v>
      </c>
      <c r="C15" s="27">
        <v>478180</v>
      </c>
      <c r="D15" s="27">
        <v>0</v>
      </c>
      <c r="E15" s="27">
        <v>0</v>
      </c>
      <c r="F15" s="38">
        <v>0</v>
      </c>
      <c r="G15" s="27">
        <v>0</v>
      </c>
      <c r="H15" s="27">
        <v>5050</v>
      </c>
      <c r="I15" s="27">
        <v>5300</v>
      </c>
      <c r="J15" s="27">
        <f t="shared" si="0"/>
        <v>488530</v>
      </c>
    </row>
    <row r="16" spans="1:10" x14ac:dyDescent="0.25">
      <c r="A16" s="1">
        <v>11</v>
      </c>
      <c r="B16" s="1" t="s">
        <v>86</v>
      </c>
      <c r="C16" s="27">
        <v>192980</v>
      </c>
      <c r="D16" s="27">
        <v>0</v>
      </c>
      <c r="E16" s="27">
        <v>0</v>
      </c>
      <c r="F16" s="38"/>
      <c r="G16" s="27"/>
      <c r="H16" s="27"/>
      <c r="I16" s="27"/>
      <c r="J16" s="27">
        <f t="shared" si="0"/>
        <v>192980</v>
      </c>
    </row>
    <row r="17" spans="1:10" x14ac:dyDescent="0.25">
      <c r="A17" s="1"/>
      <c r="B17" s="1" t="s">
        <v>108</v>
      </c>
      <c r="C17" s="27">
        <v>94554</v>
      </c>
      <c r="D17" s="27">
        <v>0</v>
      </c>
      <c r="E17" s="27">
        <v>0</v>
      </c>
      <c r="F17" s="38"/>
      <c r="G17" s="27">
        <v>27880</v>
      </c>
      <c r="H17" s="27">
        <v>1600</v>
      </c>
      <c r="I17" s="27">
        <v>1600</v>
      </c>
      <c r="J17" s="27">
        <f t="shared" si="0"/>
        <v>125634</v>
      </c>
    </row>
    <row r="18" spans="1:10" x14ac:dyDescent="0.25">
      <c r="A18" s="1"/>
      <c r="B18" s="1" t="s">
        <v>119</v>
      </c>
      <c r="C18" s="27">
        <v>177828</v>
      </c>
      <c r="D18" s="27">
        <v>0</v>
      </c>
      <c r="E18" s="27">
        <v>0</v>
      </c>
      <c r="F18" s="38">
        <v>0</v>
      </c>
      <c r="G18" s="27">
        <v>6000</v>
      </c>
      <c r="H18" s="27">
        <v>868</v>
      </c>
      <c r="I18" s="27">
        <v>13307</v>
      </c>
      <c r="J18" s="27">
        <f t="shared" si="0"/>
        <v>198003</v>
      </c>
    </row>
    <row r="19" spans="1:10" x14ac:dyDescent="0.25">
      <c r="A19" s="1">
        <v>12</v>
      </c>
      <c r="B19" s="1" t="s">
        <v>87</v>
      </c>
      <c r="C19" s="27">
        <v>632725</v>
      </c>
      <c r="D19" s="27">
        <v>0</v>
      </c>
      <c r="E19" s="27">
        <v>0</v>
      </c>
      <c r="F19" s="38"/>
      <c r="G19" s="27"/>
      <c r="H19" s="27"/>
      <c r="I19" s="27"/>
      <c r="J19" s="27">
        <f t="shared" si="0"/>
        <v>632725</v>
      </c>
    </row>
    <row r="20" spans="1:10" x14ac:dyDescent="0.25">
      <c r="A20" s="1">
        <v>13</v>
      </c>
      <c r="B20" s="1" t="s">
        <v>88</v>
      </c>
      <c r="C20" s="27">
        <v>158109</v>
      </c>
      <c r="D20" s="27">
        <v>0</v>
      </c>
      <c r="E20" s="27">
        <v>0</v>
      </c>
      <c r="F20" s="38"/>
      <c r="G20" s="27"/>
      <c r="H20" s="27"/>
      <c r="I20" s="27"/>
      <c r="J20" s="27">
        <f t="shared" si="0"/>
        <v>158109</v>
      </c>
    </row>
    <row r="21" spans="1:10" x14ac:dyDescent="0.25">
      <c r="A21" s="1">
        <v>14</v>
      </c>
      <c r="B21" s="1" t="s">
        <v>89</v>
      </c>
      <c r="C21" s="27">
        <v>104276</v>
      </c>
      <c r="D21" s="27">
        <v>0</v>
      </c>
      <c r="E21" s="27">
        <v>0</v>
      </c>
      <c r="F21" s="38"/>
      <c r="G21" s="27"/>
      <c r="H21" s="27"/>
      <c r="I21" s="27"/>
      <c r="J21" s="27">
        <f t="shared" si="0"/>
        <v>104276</v>
      </c>
    </row>
    <row r="22" spans="1:10" x14ac:dyDescent="0.25">
      <c r="A22" s="1">
        <v>14</v>
      </c>
      <c r="B22" s="1" t="s">
        <v>90</v>
      </c>
      <c r="C22" s="27">
        <v>150000</v>
      </c>
      <c r="D22" s="27">
        <v>0</v>
      </c>
      <c r="E22" s="27">
        <v>50000</v>
      </c>
      <c r="F22" s="38"/>
      <c r="G22" s="27"/>
      <c r="H22" s="27"/>
      <c r="I22" s="27"/>
      <c r="J22" s="27">
        <f t="shared" si="0"/>
        <v>200000</v>
      </c>
    </row>
    <row r="23" spans="1:10" x14ac:dyDescent="0.25">
      <c r="A23" s="1">
        <v>15</v>
      </c>
      <c r="B23" s="76" t="s">
        <v>120</v>
      </c>
      <c r="C23" s="27">
        <v>80483</v>
      </c>
      <c r="D23" s="27">
        <v>0</v>
      </c>
      <c r="E23" s="27">
        <v>0</v>
      </c>
      <c r="F23" s="38"/>
      <c r="G23" s="27"/>
      <c r="H23" s="27"/>
      <c r="I23" s="27"/>
      <c r="J23" s="27">
        <f t="shared" si="0"/>
        <v>80483</v>
      </c>
    </row>
    <row r="24" spans="1:10" x14ac:dyDescent="0.25">
      <c r="A24" s="1">
        <v>16</v>
      </c>
      <c r="B24" s="1" t="s">
        <v>128</v>
      </c>
      <c r="C24" s="27">
        <v>187741</v>
      </c>
      <c r="D24" s="27"/>
      <c r="E24" s="27">
        <v>0</v>
      </c>
      <c r="F24" s="38">
        <v>0</v>
      </c>
      <c r="G24" s="27">
        <v>1704</v>
      </c>
      <c r="H24" s="27">
        <v>30868</v>
      </c>
      <c r="I24" s="27">
        <v>5097</v>
      </c>
      <c r="J24" s="27">
        <f t="shared" si="0"/>
        <v>225410</v>
      </c>
    </row>
    <row r="25" spans="1:10" x14ac:dyDescent="0.25">
      <c r="A25" s="1">
        <v>17</v>
      </c>
      <c r="B25" s="1" t="s">
        <v>127</v>
      </c>
      <c r="C25" s="27">
        <v>36000</v>
      </c>
      <c r="D25" s="27">
        <v>0</v>
      </c>
      <c r="E25" s="27">
        <v>2000</v>
      </c>
      <c r="F25" s="38">
        <v>0</v>
      </c>
      <c r="G25" s="27">
        <v>0</v>
      </c>
      <c r="H25" s="27">
        <v>1000</v>
      </c>
      <c r="I25" s="27">
        <v>1000</v>
      </c>
      <c r="J25" s="27">
        <f t="shared" si="0"/>
        <v>40000</v>
      </c>
    </row>
    <row r="26" spans="1:10" x14ac:dyDescent="0.25">
      <c r="A26" s="1">
        <v>18</v>
      </c>
      <c r="B26" s="1" t="s">
        <v>129</v>
      </c>
      <c r="C26" s="27">
        <v>841265</v>
      </c>
      <c r="D26" s="27">
        <v>0</v>
      </c>
      <c r="E26" s="27">
        <v>0</v>
      </c>
      <c r="F26" s="38">
        <v>0</v>
      </c>
      <c r="G26" s="27">
        <v>0</v>
      </c>
      <c r="H26" s="27">
        <v>0</v>
      </c>
      <c r="I26" s="27">
        <v>0</v>
      </c>
      <c r="J26" s="27">
        <f t="shared" si="0"/>
        <v>841265</v>
      </c>
    </row>
    <row r="27" spans="1:10" x14ac:dyDescent="0.25">
      <c r="A27" s="1">
        <v>19</v>
      </c>
      <c r="B27" s="1" t="s">
        <v>157</v>
      </c>
      <c r="C27" s="27">
        <v>9690</v>
      </c>
      <c r="D27" s="27">
        <v>0</v>
      </c>
      <c r="E27" s="27">
        <v>0</v>
      </c>
      <c r="F27" s="38"/>
      <c r="G27" s="27"/>
      <c r="H27" s="27"/>
      <c r="I27" s="27"/>
      <c r="J27" s="27">
        <f t="shared" si="0"/>
        <v>9690</v>
      </c>
    </row>
    <row r="28" spans="1:10" x14ac:dyDescent="0.25">
      <c r="A28" s="1">
        <v>20</v>
      </c>
      <c r="B28" s="1" t="s">
        <v>158</v>
      </c>
      <c r="C28" s="27">
        <v>1360</v>
      </c>
      <c r="D28" s="27">
        <v>0</v>
      </c>
      <c r="E28" s="27">
        <v>0</v>
      </c>
      <c r="F28" s="38"/>
      <c r="G28" s="27"/>
      <c r="H28" s="27"/>
      <c r="I28" s="27"/>
      <c r="J28" s="27">
        <f t="shared" si="0"/>
        <v>1360</v>
      </c>
    </row>
    <row r="29" spans="1:10" x14ac:dyDescent="0.25">
      <c r="A29" s="66">
        <v>21</v>
      </c>
      <c r="B29" s="66" t="s">
        <v>209</v>
      </c>
      <c r="C29" s="27">
        <v>62573</v>
      </c>
      <c r="D29" s="27">
        <v>0</v>
      </c>
      <c r="E29" s="27">
        <v>0</v>
      </c>
      <c r="F29" s="90"/>
      <c r="G29" s="91"/>
      <c r="H29" s="91"/>
      <c r="I29" s="91"/>
      <c r="J29" s="91">
        <f t="shared" si="0"/>
        <v>62573</v>
      </c>
    </row>
    <row r="30" spans="1:10" x14ac:dyDescent="0.25">
      <c r="A30" s="66">
        <v>22</v>
      </c>
      <c r="B30" s="66" t="s">
        <v>210</v>
      </c>
      <c r="C30" s="27">
        <v>47610</v>
      </c>
      <c r="D30" s="27">
        <v>0</v>
      </c>
      <c r="E30" s="27">
        <v>0</v>
      </c>
      <c r="F30" s="90"/>
      <c r="G30" s="91"/>
      <c r="H30" s="91"/>
      <c r="I30" s="91"/>
      <c r="J30" s="91">
        <f t="shared" si="0"/>
        <v>47610</v>
      </c>
    </row>
    <row r="31" spans="1:10" x14ac:dyDescent="0.25">
      <c r="A31" s="3">
        <v>23</v>
      </c>
      <c r="B31" s="3" t="s">
        <v>130</v>
      </c>
      <c r="C31" s="15">
        <v>1812545</v>
      </c>
      <c r="D31" s="15">
        <v>0</v>
      </c>
      <c r="E31" s="15">
        <v>0</v>
      </c>
      <c r="F31" s="3">
        <v>0</v>
      </c>
      <c r="G31" s="15">
        <v>0</v>
      </c>
      <c r="H31" s="15">
        <v>0</v>
      </c>
      <c r="I31" s="15"/>
      <c r="J31" s="14">
        <f t="shared" si="0"/>
        <v>1812545</v>
      </c>
    </row>
    <row r="32" spans="1:10" x14ac:dyDescent="0.25">
      <c r="A32" s="3" t="s">
        <v>305</v>
      </c>
      <c r="B32" s="3" t="s">
        <v>306</v>
      </c>
      <c r="C32" s="15">
        <v>0</v>
      </c>
      <c r="D32" s="15">
        <v>0</v>
      </c>
      <c r="E32" s="15">
        <v>0</v>
      </c>
      <c r="F32" s="3">
        <v>0</v>
      </c>
      <c r="G32" s="15">
        <v>0</v>
      </c>
      <c r="H32" s="15">
        <v>50000</v>
      </c>
      <c r="I32" s="15">
        <v>214000</v>
      </c>
      <c r="J32" s="14">
        <f t="shared" si="0"/>
        <v>264000</v>
      </c>
    </row>
    <row r="33" spans="1:10" x14ac:dyDescent="0.25">
      <c r="A33" s="1">
        <v>24</v>
      </c>
      <c r="B33" s="1" t="s">
        <v>216</v>
      </c>
      <c r="C33" s="14">
        <v>2699310</v>
      </c>
      <c r="D33" s="14">
        <v>0</v>
      </c>
      <c r="E33" s="14">
        <v>0</v>
      </c>
      <c r="F33" s="1">
        <v>0</v>
      </c>
      <c r="G33" s="14">
        <v>200825</v>
      </c>
      <c r="H33" s="14">
        <v>53500</v>
      </c>
      <c r="I33" s="14">
        <v>72000</v>
      </c>
      <c r="J33" s="14">
        <f t="shared" si="0"/>
        <v>3025635</v>
      </c>
    </row>
    <row r="34" spans="1:10" x14ac:dyDescent="0.25">
      <c r="A34" s="1">
        <v>25</v>
      </c>
      <c r="B34" s="1" t="s">
        <v>282</v>
      </c>
      <c r="C34" s="14">
        <v>11500</v>
      </c>
      <c r="D34" s="14">
        <v>0</v>
      </c>
      <c r="E34" s="14">
        <v>3500</v>
      </c>
      <c r="F34" s="1">
        <v>0</v>
      </c>
      <c r="G34" s="14">
        <v>3500</v>
      </c>
      <c r="H34" s="14">
        <v>0</v>
      </c>
      <c r="I34" s="14">
        <v>0</v>
      </c>
      <c r="J34" s="14">
        <f t="shared" si="0"/>
        <v>18500</v>
      </c>
    </row>
    <row r="35" spans="1:10" x14ac:dyDescent="0.25">
      <c r="A35" s="1"/>
      <c r="B35" s="3" t="s">
        <v>93</v>
      </c>
      <c r="C35" s="15">
        <f>SUM(C5:C34)</f>
        <v>23820041</v>
      </c>
      <c r="D35" s="15">
        <f>SUM(D5:D34)</f>
        <v>0</v>
      </c>
      <c r="E35" s="15">
        <f>SUM(E5:E34)</f>
        <v>55500</v>
      </c>
      <c r="F35" s="15">
        <f t="shared" ref="F35" si="1">SUM(F5:F33)</f>
        <v>0</v>
      </c>
      <c r="G35" s="15">
        <f>SUM(G5:G34)</f>
        <v>239909</v>
      </c>
      <c r="H35" s="15">
        <f>SUM(H5:H34)</f>
        <v>572361</v>
      </c>
      <c r="I35" s="15">
        <f>SUM(I5:I34)</f>
        <v>866389</v>
      </c>
      <c r="J35" s="15">
        <f>SUM(J5:J34)</f>
        <v>25554200</v>
      </c>
    </row>
    <row r="38" spans="1:10" x14ac:dyDescent="0.25">
      <c r="A38" s="1"/>
      <c r="B38" s="3" t="s">
        <v>91</v>
      </c>
      <c r="C38" s="59" t="s">
        <v>299</v>
      </c>
      <c r="D38" s="13">
        <v>42917</v>
      </c>
      <c r="E38" s="13">
        <v>42948</v>
      </c>
      <c r="F38" s="13">
        <v>42979</v>
      </c>
      <c r="G38" s="13">
        <v>43009</v>
      </c>
      <c r="H38" s="13">
        <v>43040</v>
      </c>
      <c r="I38" s="13">
        <v>43070</v>
      </c>
      <c r="J38" s="1" t="s">
        <v>81</v>
      </c>
    </row>
    <row r="39" spans="1:10" x14ac:dyDescent="0.25">
      <c r="A39" s="1">
        <v>16</v>
      </c>
      <c r="B39" s="1" t="s">
        <v>92</v>
      </c>
      <c r="C39" s="1">
        <v>124297</v>
      </c>
      <c r="D39" s="14">
        <v>0</v>
      </c>
      <c r="E39" s="14">
        <v>0</v>
      </c>
      <c r="F39" s="1">
        <v>0</v>
      </c>
      <c r="G39" s="14">
        <v>20176</v>
      </c>
      <c r="H39" s="27">
        <v>4979</v>
      </c>
      <c r="I39" s="27">
        <v>4928</v>
      </c>
      <c r="J39" s="14">
        <f t="shared" ref="J39:J45" si="2">SUM(C39:I39)</f>
        <v>154380</v>
      </c>
    </row>
    <row r="40" spans="1:10" x14ac:dyDescent="0.25">
      <c r="A40" s="1">
        <v>17</v>
      </c>
      <c r="B40" s="1" t="s">
        <v>97</v>
      </c>
      <c r="C40" s="1">
        <v>190000</v>
      </c>
      <c r="D40" s="14">
        <v>0</v>
      </c>
      <c r="E40" s="14">
        <v>0</v>
      </c>
      <c r="F40" s="1"/>
      <c r="G40" s="14"/>
      <c r="H40" s="27"/>
      <c r="I40" s="27"/>
      <c r="J40" s="14">
        <f t="shared" si="2"/>
        <v>190000</v>
      </c>
    </row>
    <row r="41" spans="1:10" x14ac:dyDescent="0.25">
      <c r="A41" s="1">
        <v>18</v>
      </c>
      <c r="B41" s="1" t="s">
        <v>98</v>
      </c>
      <c r="C41" s="1">
        <v>48284</v>
      </c>
      <c r="D41" s="14">
        <v>0</v>
      </c>
      <c r="E41" s="14">
        <v>0</v>
      </c>
      <c r="F41" s="1">
        <v>0</v>
      </c>
      <c r="G41" s="14">
        <v>6042</v>
      </c>
      <c r="H41" s="27">
        <v>1105</v>
      </c>
      <c r="I41" s="27">
        <v>3069</v>
      </c>
      <c r="J41" s="14">
        <f t="shared" si="2"/>
        <v>58500</v>
      </c>
    </row>
    <row r="42" spans="1:10" x14ac:dyDescent="0.25">
      <c r="A42" s="1">
        <v>19</v>
      </c>
      <c r="B42" s="1" t="s">
        <v>46</v>
      </c>
      <c r="C42" s="1">
        <v>59088</v>
      </c>
      <c r="D42" s="14"/>
      <c r="E42" s="14">
        <v>0</v>
      </c>
      <c r="F42" s="1">
        <v>0</v>
      </c>
      <c r="G42" s="14">
        <v>707</v>
      </c>
      <c r="H42" s="27">
        <v>1252</v>
      </c>
      <c r="I42" s="27">
        <v>585</v>
      </c>
      <c r="J42" s="14">
        <f t="shared" si="2"/>
        <v>61632</v>
      </c>
    </row>
    <row r="43" spans="1:10" x14ac:dyDescent="0.25">
      <c r="A43" s="1">
        <v>20</v>
      </c>
      <c r="B43" s="1" t="s">
        <v>14</v>
      </c>
      <c r="C43" s="1">
        <v>76422</v>
      </c>
      <c r="D43" s="14">
        <v>0</v>
      </c>
      <c r="E43" s="14">
        <v>0</v>
      </c>
      <c r="F43" s="1">
        <v>0</v>
      </c>
      <c r="G43" s="14">
        <v>2735</v>
      </c>
      <c r="H43" s="27">
        <v>1462</v>
      </c>
      <c r="I43" s="27">
        <v>2445</v>
      </c>
      <c r="J43" s="14">
        <f t="shared" si="2"/>
        <v>83064</v>
      </c>
    </row>
    <row r="44" spans="1:10" x14ac:dyDescent="0.25">
      <c r="A44" s="1">
        <v>21</v>
      </c>
      <c r="B44" s="38" t="s">
        <v>275</v>
      </c>
      <c r="C44" s="78">
        <v>1158500</v>
      </c>
      <c r="D44" s="77">
        <v>50000</v>
      </c>
      <c r="E44" s="77">
        <v>0</v>
      </c>
      <c r="F44" s="78">
        <v>0</v>
      </c>
      <c r="G44" s="77">
        <v>500000</v>
      </c>
      <c r="H44" s="79">
        <v>50000</v>
      </c>
      <c r="I44" s="79"/>
      <c r="J44" s="77">
        <f t="shared" si="2"/>
        <v>1758500</v>
      </c>
    </row>
    <row r="45" spans="1:10" x14ac:dyDescent="0.25">
      <c r="A45" s="1"/>
      <c r="B45" s="1"/>
      <c r="C45" s="1">
        <v>0</v>
      </c>
      <c r="D45" s="14">
        <v>0</v>
      </c>
      <c r="E45" s="14">
        <v>0</v>
      </c>
      <c r="F45" s="1"/>
      <c r="G45" s="14"/>
      <c r="H45" s="27"/>
      <c r="I45" s="27"/>
      <c r="J45" s="14">
        <f t="shared" si="2"/>
        <v>0</v>
      </c>
    </row>
    <row r="46" spans="1:10" x14ac:dyDescent="0.25">
      <c r="A46" s="1"/>
      <c r="B46" s="3" t="s">
        <v>93</v>
      </c>
      <c r="C46" s="3">
        <v>498091</v>
      </c>
      <c r="D46" s="15">
        <v>0</v>
      </c>
      <c r="E46" s="15">
        <f>SUM(E39:E45)</f>
        <v>0</v>
      </c>
      <c r="F46" s="15">
        <f t="shared" ref="F46:H46" si="3">SUM(F39:F43)</f>
        <v>0</v>
      </c>
      <c r="G46" s="15">
        <f t="shared" si="3"/>
        <v>29660</v>
      </c>
      <c r="H46" s="28">
        <f t="shared" si="3"/>
        <v>8798</v>
      </c>
      <c r="I46" s="28">
        <f>SUM(I39:I43)</f>
        <v>11027</v>
      </c>
      <c r="J46" s="74">
        <f>SUM(J39:J43)</f>
        <v>547576</v>
      </c>
    </row>
    <row r="47" spans="1:10" ht="15.75" x14ac:dyDescent="0.25">
      <c r="A47" s="1"/>
      <c r="B47" s="8" t="s">
        <v>94</v>
      </c>
      <c r="C47" s="16">
        <f t="shared" ref="C47:I47" si="4">C35+C46</f>
        <v>24318132</v>
      </c>
      <c r="D47" s="16">
        <f t="shared" si="4"/>
        <v>0</v>
      </c>
      <c r="E47" s="16">
        <f t="shared" si="4"/>
        <v>55500</v>
      </c>
      <c r="F47" s="16">
        <f t="shared" si="4"/>
        <v>0</v>
      </c>
      <c r="G47" s="16">
        <f t="shared" si="4"/>
        <v>269569</v>
      </c>
      <c r="H47" s="16">
        <f t="shared" si="4"/>
        <v>581159</v>
      </c>
      <c r="I47" s="16">
        <f t="shared" si="4"/>
        <v>877416</v>
      </c>
      <c r="J47" s="16">
        <f>SUM(J35+J46)</f>
        <v>26101776</v>
      </c>
    </row>
    <row r="49" spans="1:10" x14ac:dyDescent="0.25">
      <c r="J49" s="26"/>
    </row>
    <row r="54" spans="1:10" ht="18.75" x14ac:dyDescent="0.3">
      <c r="B54" s="5"/>
    </row>
    <row r="55" spans="1:10" ht="18.75" x14ac:dyDescent="0.3">
      <c r="B55" s="5"/>
    </row>
    <row r="56" spans="1:10" ht="18.75" x14ac:dyDescent="0.3">
      <c r="B56" s="5"/>
    </row>
    <row r="57" spans="1:10" ht="18.75" x14ac:dyDescent="0.3">
      <c r="B57" s="5"/>
    </row>
    <row r="58" spans="1:10" ht="18.75" x14ac:dyDescent="0.3">
      <c r="B58" s="5"/>
    </row>
    <row r="59" spans="1:10" x14ac:dyDescent="0.25">
      <c r="A59" s="61"/>
      <c r="B59" s="61"/>
      <c r="C59" s="80"/>
      <c r="D59" s="60"/>
      <c r="E59" s="60"/>
      <c r="F59" s="60"/>
      <c r="G59" s="61"/>
    </row>
    <row r="60" spans="1:10" x14ac:dyDescent="0.25">
      <c r="A60" s="25"/>
      <c r="B60" s="22"/>
      <c r="C60" s="81"/>
      <c r="D60" s="22"/>
      <c r="E60" s="22"/>
      <c r="F60" s="22"/>
      <c r="G60" s="82"/>
    </row>
    <row r="61" spans="1:10" x14ac:dyDescent="0.25">
      <c r="A61" s="25"/>
      <c r="B61" s="22"/>
      <c r="C61" s="81"/>
      <c r="D61" s="22"/>
      <c r="E61" s="22"/>
      <c r="F61" s="22"/>
      <c r="G61" s="82"/>
    </row>
    <row r="62" spans="1:10" x14ac:dyDescent="0.25">
      <c r="A62" s="25"/>
      <c r="B62" s="22"/>
      <c r="C62" s="81"/>
      <c r="D62" s="22"/>
      <c r="E62" s="22"/>
      <c r="F62" s="22"/>
      <c r="G62" s="82"/>
    </row>
    <row r="63" spans="1:10" x14ac:dyDescent="0.25">
      <c r="A63" s="25"/>
      <c r="B63" s="22"/>
      <c r="C63" s="81"/>
      <c r="D63" s="22"/>
      <c r="E63" s="22"/>
      <c r="F63" s="22"/>
      <c r="G63" s="82"/>
    </row>
    <row r="64" spans="1:10" x14ac:dyDescent="0.25">
      <c r="A64" s="25"/>
      <c r="B64" s="22"/>
      <c r="C64" s="81"/>
      <c r="D64" s="22"/>
      <c r="E64" s="22"/>
      <c r="F64" s="22"/>
      <c r="G64" s="82"/>
    </row>
    <row r="65" spans="1:10" x14ac:dyDescent="0.25">
      <c r="A65" s="25"/>
      <c r="B65" s="25"/>
      <c r="C65" s="83"/>
      <c r="D65" s="22"/>
      <c r="E65" s="22"/>
      <c r="F65" s="22"/>
      <c r="G65" s="84"/>
    </row>
    <row r="66" spans="1:10" x14ac:dyDescent="0.25">
      <c r="A66" s="22"/>
      <c r="B66" s="85"/>
      <c r="C66" s="86"/>
      <c r="D66" s="86"/>
      <c r="E66" s="86"/>
      <c r="F66" s="86"/>
      <c r="G66" s="86"/>
    </row>
    <row r="70" spans="1:10" ht="18.75" x14ac:dyDescent="0.3">
      <c r="B70" s="5" t="s">
        <v>80</v>
      </c>
    </row>
    <row r="71" spans="1:10" ht="18.75" x14ac:dyDescent="0.3">
      <c r="B71" s="5" t="s">
        <v>64</v>
      </c>
    </row>
    <row r="72" spans="1:10" ht="18.75" x14ac:dyDescent="0.3">
      <c r="B72" s="5" t="s">
        <v>271</v>
      </c>
    </row>
    <row r="73" spans="1:10" ht="18.75" x14ac:dyDescent="0.3">
      <c r="B73" s="5" t="s">
        <v>307</v>
      </c>
    </row>
    <row r="74" spans="1:10" ht="18.75" x14ac:dyDescent="0.3">
      <c r="B74" s="5"/>
    </row>
    <row r="75" spans="1:10" x14ac:dyDescent="0.25">
      <c r="A75" s="3" t="s">
        <v>163</v>
      </c>
      <c r="B75" s="3" t="s">
        <v>164</v>
      </c>
      <c r="C75" s="59" t="s">
        <v>299</v>
      </c>
      <c r="D75" s="13">
        <v>42917</v>
      </c>
      <c r="E75" s="13">
        <v>42948</v>
      </c>
      <c r="F75" s="13">
        <v>42979</v>
      </c>
      <c r="G75" s="13">
        <v>43009</v>
      </c>
      <c r="H75" s="13">
        <v>43040</v>
      </c>
      <c r="I75" s="13">
        <v>43070</v>
      </c>
      <c r="J75" s="1" t="s">
        <v>81</v>
      </c>
    </row>
    <row r="76" spans="1:10" x14ac:dyDescent="0.25">
      <c r="A76" s="38">
        <v>1</v>
      </c>
      <c r="B76" s="1" t="s">
        <v>199</v>
      </c>
      <c r="C76" s="14">
        <v>150000</v>
      </c>
      <c r="D76" s="1"/>
      <c r="E76" s="1"/>
      <c r="F76" s="1"/>
      <c r="G76" s="70"/>
      <c r="H76" s="1"/>
      <c r="I76" s="1"/>
      <c r="J76" s="70">
        <f>SUM(C76:I76)</f>
        <v>150000</v>
      </c>
    </row>
    <row r="77" spans="1:10" x14ac:dyDescent="0.25">
      <c r="A77" s="38"/>
      <c r="B77" s="1" t="s">
        <v>202</v>
      </c>
      <c r="C77" s="14">
        <v>90000</v>
      </c>
      <c r="D77" s="1"/>
      <c r="E77" s="1"/>
      <c r="F77" s="1"/>
      <c r="G77" s="70"/>
      <c r="H77" s="1"/>
      <c r="I77" s="1"/>
      <c r="J77" s="70">
        <f t="shared" ref="J77:J82" si="5">SUM(C77:I77)</f>
        <v>90000</v>
      </c>
    </row>
    <row r="78" spans="1:10" x14ac:dyDescent="0.25">
      <c r="A78" s="38">
        <v>2</v>
      </c>
      <c r="B78" s="1" t="s">
        <v>223</v>
      </c>
      <c r="C78" s="14">
        <v>602000</v>
      </c>
      <c r="D78" s="1"/>
      <c r="E78" s="1"/>
      <c r="F78" s="1"/>
      <c r="G78" s="70"/>
      <c r="H78" s="1"/>
      <c r="I78" s="1"/>
      <c r="J78" s="70">
        <f t="shared" si="5"/>
        <v>602000</v>
      </c>
    </row>
    <row r="79" spans="1:10" x14ac:dyDescent="0.25">
      <c r="A79" s="38">
        <v>3</v>
      </c>
      <c r="B79" s="1" t="s">
        <v>222</v>
      </c>
      <c r="C79" s="14">
        <v>565000</v>
      </c>
      <c r="D79" s="1">
        <v>0</v>
      </c>
      <c r="E79" s="1">
        <v>0</v>
      </c>
      <c r="F79" s="1">
        <v>0</v>
      </c>
      <c r="G79" s="70">
        <v>0</v>
      </c>
      <c r="H79" s="1">
        <v>0</v>
      </c>
      <c r="I79" s="1">
        <v>0</v>
      </c>
      <c r="J79" s="70">
        <f t="shared" si="5"/>
        <v>565000</v>
      </c>
    </row>
    <row r="80" spans="1:10" x14ac:dyDescent="0.25">
      <c r="A80" s="38">
        <v>4</v>
      </c>
      <c r="B80" s="1" t="s">
        <v>231</v>
      </c>
      <c r="C80" s="14">
        <v>416000</v>
      </c>
      <c r="D80" s="1"/>
      <c r="E80" s="1">
        <v>120000</v>
      </c>
      <c r="F80" s="1"/>
      <c r="G80" s="70"/>
      <c r="H80" s="1"/>
      <c r="I80" s="1"/>
      <c r="J80" s="70">
        <f t="shared" si="5"/>
        <v>536000</v>
      </c>
    </row>
    <row r="81" spans="1:10" x14ac:dyDescent="0.25">
      <c r="A81" s="38">
        <v>5</v>
      </c>
      <c r="B81" s="38" t="s">
        <v>241</v>
      </c>
      <c r="C81" s="27">
        <v>700000</v>
      </c>
      <c r="D81" s="1"/>
      <c r="E81" s="1"/>
      <c r="F81" s="1"/>
      <c r="G81" s="72"/>
      <c r="H81" s="1"/>
      <c r="I81" s="1"/>
      <c r="J81" s="70">
        <f t="shared" si="5"/>
        <v>700000</v>
      </c>
    </row>
    <row r="82" spans="1:10" x14ac:dyDescent="0.25">
      <c r="A82" s="38">
        <v>6</v>
      </c>
      <c r="B82" s="38" t="s">
        <v>309</v>
      </c>
      <c r="C82" s="27">
        <v>0</v>
      </c>
      <c r="D82" s="1"/>
      <c r="E82" s="1"/>
      <c r="F82" s="1"/>
      <c r="G82" s="72"/>
      <c r="H82" s="1"/>
      <c r="I82" s="1">
        <v>20000</v>
      </c>
      <c r="J82" s="70">
        <f t="shared" si="5"/>
        <v>20000</v>
      </c>
    </row>
    <row r="83" spans="1:10" x14ac:dyDescent="0.25">
      <c r="A83" s="1"/>
      <c r="B83" s="71" t="s">
        <v>138</v>
      </c>
      <c r="C83" s="15">
        <f>SUM(C76:C82)</f>
        <v>2523000</v>
      </c>
      <c r="D83" s="15">
        <f>SUM(D76:D81)</f>
        <v>0</v>
      </c>
      <c r="E83" s="15">
        <f>SUM(E76:E82)</f>
        <v>120000</v>
      </c>
      <c r="F83" s="15">
        <f>SUM(F76:F81)</f>
        <v>0</v>
      </c>
      <c r="G83" s="15"/>
      <c r="H83" s="1"/>
      <c r="I83" s="15">
        <f>SUM(I76:I82)</f>
        <v>20000</v>
      </c>
      <c r="J83" s="15">
        <f>SUM(J76:J82)</f>
        <v>2663000</v>
      </c>
    </row>
    <row r="84" spans="1:10" x14ac:dyDescent="0.25">
      <c r="A84" s="22"/>
      <c r="B84" s="85"/>
      <c r="C84" s="86"/>
      <c r="D84" s="86"/>
      <c r="E84" s="86"/>
      <c r="F84" s="86"/>
      <c r="G84" s="86"/>
      <c r="H84" s="22"/>
      <c r="I84" s="22"/>
      <c r="J84" s="86"/>
    </row>
    <row r="85" spans="1:10" x14ac:dyDescent="0.25">
      <c r="A85" s="22"/>
      <c r="B85" s="85"/>
      <c r="C85" s="86"/>
      <c r="D85" s="86"/>
      <c r="E85" s="86"/>
      <c r="F85" s="86"/>
      <c r="G85" s="86"/>
      <c r="H85" s="22"/>
      <c r="I85" s="22"/>
      <c r="J85" s="86"/>
    </row>
    <row r="86" spans="1:10" ht="18.75" x14ac:dyDescent="0.3">
      <c r="B86" s="5" t="s">
        <v>80</v>
      </c>
    </row>
    <row r="87" spans="1:10" ht="18.75" x14ac:dyDescent="0.3">
      <c r="B87" s="5" t="s">
        <v>64</v>
      </c>
    </row>
    <row r="88" spans="1:10" ht="18.75" x14ac:dyDescent="0.3">
      <c r="B88" s="5" t="s">
        <v>272</v>
      </c>
    </row>
    <row r="89" spans="1:10" ht="18.75" x14ac:dyDescent="0.3">
      <c r="B89" s="5" t="s">
        <v>307</v>
      </c>
    </row>
    <row r="90" spans="1:10" ht="18.75" x14ac:dyDescent="0.3">
      <c r="B90" s="5"/>
    </row>
    <row r="91" spans="1:10" x14ac:dyDescent="0.25">
      <c r="A91" s="3" t="s">
        <v>163</v>
      </c>
      <c r="B91" s="3" t="s">
        <v>164</v>
      </c>
      <c r="C91" s="59" t="s">
        <v>299</v>
      </c>
      <c r="D91" s="13">
        <v>42917</v>
      </c>
      <c r="E91" s="13">
        <v>42948</v>
      </c>
      <c r="F91" s="13">
        <v>42979</v>
      </c>
      <c r="G91" s="13">
        <v>43009</v>
      </c>
      <c r="H91" s="13">
        <v>43040</v>
      </c>
      <c r="I91" s="13">
        <v>43070</v>
      </c>
      <c r="J91" s="3" t="s">
        <v>166</v>
      </c>
    </row>
    <row r="92" spans="1:10" x14ac:dyDescent="0.25">
      <c r="A92" s="38">
        <v>1</v>
      </c>
      <c r="B92" s="1" t="s">
        <v>199</v>
      </c>
      <c r="C92" s="14"/>
      <c r="D92" s="1">
        <v>0</v>
      </c>
      <c r="E92" s="1">
        <v>0</v>
      </c>
      <c r="F92" s="1"/>
      <c r="G92" s="70"/>
      <c r="H92" s="1"/>
      <c r="I92" s="1"/>
      <c r="J92" s="70">
        <f>SUM(C92:I92)</f>
        <v>0</v>
      </c>
    </row>
    <row r="93" spans="1:10" x14ac:dyDescent="0.25">
      <c r="A93" s="38"/>
      <c r="B93" s="1" t="s">
        <v>202</v>
      </c>
      <c r="C93" s="14">
        <v>0</v>
      </c>
      <c r="D93" s="1">
        <v>0</v>
      </c>
      <c r="E93" s="1">
        <v>0</v>
      </c>
      <c r="F93" s="1"/>
      <c r="G93" s="70"/>
      <c r="H93" s="1"/>
      <c r="I93" s="1"/>
      <c r="J93" s="70">
        <f t="shared" ref="J93:J97" si="6">SUM(C93:I93)</f>
        <v>0</v>
      </c>
    </row>
    <row r="94" spans="1:10" x14ac:dyDescent="0.25">
      <c r="A94" s="38">
        <v>2</v>
      </c>
      <c r="B94" s="1" t="s">
        <v>223</v>
      </c>
      <c r="C94" s="14">
        <v>500000</v>
      </c>
      <c r="D94" s="1">
        <v>0</v>
      </c>
      <c r="E94" s="1">
        <v>0</v>
      </c>
      <c r="F94" s="1"/>
      <c r="G94" s="70"/>
      <c r="H94" s="1"/>
      <c r="I94" s="1"/>
      <c r="J94" s="70">
        <f t="shared" si="6"/>
        <v>500000</v>
      </c>
    </row>
    <row r="95" spans="1:10" x14ac:dyDescent="0.25">
      <c r="A95" s="38">
        <v>3</v>
      </c>
      <c r="B95" s="1" t="s">
        <v>222</v>
      </c>
      <c r="C95" s="14">
        <v>175000</v>
      </c>
      <c r="D95" s="1">
        <v>50000</v>
      </c>
      <c r="E95" s="1">
        <v>0</v>
      </c>
      <c r="F95" s="1">
        <v>0</v>
      </c>
      <c r="G95" s="70">
        <v>0</v>
      </c>
      <c r="H95" s="1">
        <v>50000</v>
      </c>
      <c r="I95" s="1"/>
      <c r="J95" s="70">
        <f t="shared" si="6"/>
        <v>275000</v>
      </c>
    </row>
    <row r="96" spans="1:10" x14ac:dyDescent="0.25">
      <c r="A96" s="38">
        <v>4</v>
      </c>
      <c r="B96" s="1" t="s">
        <v>231</v>
      </c>
      <c r="C96" s="14">
        <v>0</v>
      </c>
      <c r="D96" s="1">
        <v>0</v>
      </c>
      <c r="E96" s="1">
        <v>0</v>
      </c>
      <c r="F96" s="1"/>
      <c r="G96" s="70">
        <v>500000</v>
      </c>
      <c r="H96" s="1"/>
      <c r="I96" s="1"/>
      <c r="J96" s="70">
        <f t="shared" si="6"/>
        <v>500000</v>
      </c>
    </row>
    <row r="97" spans="1:10" x14ac:dyDescent="0.25">
      <c r="A97" s="38">
        <v>5</v>
      </c>
      <c r="B97" s="38" t="s">
        <v>241</v>
      </c>
      <c r="C97" s="27">
        <v>483500</v>
      </c>
      <c r="D97" s="70"/>
      <c r="E97" s="1">
        <v>0</v>
      </c>
      <c r="F97" s="1"/>
      <c r="G97" s="72"/>
      <c r="H97" s="1"/>
      <c r="I97" s="1"/>
      <c r="J97" s="70">
        <f t="shared" si="6"/>
        <v>483500</v>
      </c>
    </row>
    <row r="98" spans="1:10" x14ac:dyDescent="0.25">
      <c r="A98" s="38"/>
      <c r="B98" s="38"/>
      <c r="C98" s="27"/>
      <c r="D98" s="70"/>
      <c r="E98" s="1"/>
      <c r="F98" s="1"/>
      <c r="G98" s="72"/>
      <c r="H98" s="1"/>
      <c r="I98" s="1"/>
      <c r="J98" s="70"/>
    </row>
    <row r="99" spans="1:10" x14ac:dyDescent="0.25">
      <c r="A99" s="1"/>
      <c r="B99" s="71" t="s">
        <v>138</v>
      </c>
      <c r="C99" s="15">
        <f>SUM(C92:C97)</f>
        <v>1158500</v>
      </c>
      <c r="D99" s="15">
        <f>SUM(D92:D97)</f>
        <v>50000</v>
      </c>
      <c r="E99" s="15">
        <f>SUM(E92:E97)</f>
        <v>0</v>
      </c>
      <c r="F99" s="15">
        <f>SUM(F92:F97)</f>
        <v>0</v>
      </c>
      <c r="G99" s="15"/>
      <c r="H99" s="1"/>
      <c r="I99" s="1"/>
      <c r="J99" s="70">
        <f>SUM(J92:J97)</f>
        <v>1758500</v>
      </c>
    </row>
    <row r="105" spans="1:10" ht="18.75" x14ac:dyDescent="0.3">
      <c r="B105" s="5" t="s">
        <v>80</v>
      </c>
    </row>
    <row r="106" spans="1:10" ht="18.75" x14ac:dyDescent="0.3">
      <c r="B106" s="5" t="s">
        <v>64</v>
      </c>
    </row>
    <row r="107" spans="1:10" ht="18.75" x14ac:dyDescent="0.3">
      <c r="B107" s="5" t="s">
        <v>279</v>
      </c>
    </row>
    <row r="108" spans="1:10" ht="18.75" x14ac:dyDescent="0.3">
      <c r="B108" s="5" t="s">
        <v>307</v>
      </c>
    </row>
    <row r="110" spans="1:10" x14ac:dyDescent="0.25">
      <c r="A110" s="3" t="s">
        <v>163</v>
      </c>
      <c r="B110" s="3" t="s">
        <v>164</v>
      </c>
      <c r="C110" s="59" t="s">
        <v>281</v>
      </c>
      <c r="D110" s="13" t="s">
        <v>280</v>
      </c>
      <c r="E110" s="13" t="s">
        <v>280</v>
      </c>
      <c r="F110" s="13" t="s">
        <v>280</v>
      </c>
      <c r="G110" s="13" t="s">
        <v>280</v>
      </c>
      <c r="H110" s="13" t="s">
        <v>280</v>
      </c>
      <c r="I110" s="13" t="s">
        <v>280</v>
      </c>
      <c r="J110" s="3" t="s">
        <v>166</v>
      </c>
    </row>
    <row r="111" spans="1:10" x14ac:dyDescent="0.25">
      <c r="A111" s="38">
        <v>1</v>
      </c>
      <c r="B111" s="1" t="s">
        <v>199</v>
      </c>
      <c r="C111" s="14">
        <v>150000</v>
      </c>
      <c r="D111" s="1">
        <v>0</v>
      </c>
      <c r="E111" s="1"/>
      <c r="F111" s="1"/>
      <c r="G111" s="70"/>
      <c r="H111" s="1"/>
      <c r="I111" s="1"/>
      <c r="J111" s="70">
        <f>C111-D111-E111-F111-G111-H111-I111</f>
        <v>150000</v>
      </c>
    </row>
    <row r="112" spans="1:10" x14ac:dyDescent="0.25">
      <c r="A112" s="38"/>
      <c r="B112" s="1" t="s">
        <v>202</v>
      </c>
      <c r="C112" s="14">
        <v>90000</v>
      </c>
      <c r="D112" s="1">
        <v>0</v>
      </c>
      <c r="E112" s="1"/>
      <c r="F112" s="1"/>
      <c r="G112" s="70"/>
      <c r="H112" s="1"/>
      <c r="I112" s="1"/>
      <c r="J112" s="70">
        <f t="shared" ref="J112:J116" si="7">C112-D112-E112-F112-G112-H112-I112</f>
        <v>90000</v>
      </c>
    </row>
    <row r="113" spans="1:10" x14ac:dyDescent="0.25">
      <c r="A113" s="38">
        <v>2</v>
      </c>
      <c r="B113" s="1" t="s">
        <v>223</v>
      </c>
      <c r="C113" s="14">
        <v>602000</v>
      </c>
      <c r="D113" s="1">
        <v>500000</v>
      </c>
      <c r="E113" s="1"/>
      <c r="F113" s="1"/>
      <c r="G113" s="70"/>
      <c r="H113" s="1"/>
      <c r="I113" s="1"/>
      <c r="J113" s="70">
        <f t="shared" si="7"/>
        <v>102000</v>
      </c>
    </row>
    <row r="114" spans="1:10" x14ac:dyDescent="0.25">
      <c r="A114" s="38">
        <v>3</v>
      </c>
      <c r="B114" s="1" t="s">
        <v>222</v>
      </c>
      <c r="C114" s="14">
        <v>565000</v>
      </c>
      <c r="D114" s="1">
        <v>75000</v>
      </c>
      <c r="E114" s="1">
        <v>50000</v>
      </c>
      <c r="F114" s="1">
        <v>50000</v>
      </c>
      <c r="G114" s="70">
        <v>50000</v>
      </c>
      <c r="H114" s="1">
        <v>50000</v>
      </c>
      <c r="I114" s="1"/>
      <c r="J114" s="70">
        <f t="shared" si="7"/>
        <v>290000</v>
      </c>
    </row>
    <row r="115" spans="1:10" x14ac:dyDescent="0.25">
      <c r="A115" s="38">
        <v>4</v>
      </c>
      <c r="B115" s="1" t="s">
        <v>231</v>
      </c>
      <c r="C115" s="14">
        <v>536000</v>
      </c>
      <c r="D115" s="1">
        <v>0</v>
      </c>
      <c r="E115" s="1"/>
      <c r="F115" s="1"/>
      <c r="G115" s="70">
        <v>500000</v>
      </c>
      <c r="H115" s="1"/>
      <c r="I115" s="1"/>
      <c r="J115" s="70">
        <f t="shared" si="7"/>
        <v>36000</v>
      </c>
    </row>
    <row r="116" spans="1:10" x14ac:dyDescent="0.25">
      <c r="A116" s="38">
        <v>5</v>
      </c>
      <c r="B116" s="38" t="s">
        <v>241</v>
      </c>
      <c r="C116" s="27">
        <v>700000</v>
      </c>
      <c r="D116" s="1">
        <v>483500</v>
      </c>
      <c r="E116" s="1"/>
      <c r="F116" s="1"/>
      <c r="G116" s="72"/>
      <c r="H116" s="1"/>
      <c r="I116" s="1"/>
      <c r="J116" s="70">
        <f t="shared" si="7"/>
        <v>216500</v>
      </c>
    </row>
    <row r="117" spans="1:10" x14ac:dyDescent="0.25">
      <c r="A117" s="38">
        <v>6</v>
      </c>
      <c r="B117" s="38" t="s">
        <v>309</v>
      </c>
      <c r="C117" s="27">
        <v>20000</v>
      </c>
      <c r="D117" s="1">
        <v>0</v>
      </c>
      <c r="E117" s="1">
        <v>0</v>
      </c>
      <c r="F117" s="1">
        <v>0</v>
      </c>
      <c r="G117" s="72">
        <v>0</v>
      </c>
      <c r="H117" s="1">
        <v>0</v>
      </c>
      <c r="I117" s="1">
        <v>0</v>
      </c>
      <c r="J117" s="70">
        <v>20000</v>
      </c>
    </row>
    <row r="118" spans="1:10" x14ac:dyDescent="0.25">
      <c r="A118" s="1"/>
      <c r="B118" s="71" t="s">
        <v>138</v>
      </c>
      <c r="C118" s="15">
        <f>SUM(C111:C117)</f>
        <v>2663000</v>
      </c>
      <c r="D118" s="15">
        <f>SUM(D111:D117)</f>
        <v>1058500</v>
      </c>
      <c r="E118" s="15">
        <f>SUM(E111:E116)</f>
        <v>50000</v>
      </c>
      <c r="F118" s="15">
        <f>SUM(F111:F116)</f>
        <v>50000</v>
      </c>
      <c r="G118" s="15">
        <f>SUM(G111:G116)</f>
        <v>550000</v>
      </c>
      <c r="H118" s="1">
        <f>SUM(H111:H117)</f>
        <v>50000</v>
      </c>
      <c r="I118" s="1">
        <f>SUM(I111:I117)</f>
        <v>0</v>
      </c>
      <c r="J118" s="15">
        <f>SUM(J111:J117)</f>
        <v>904500</v>
      </c>
    </row>
  </sheetData>
  <pageMargins left="0.7" right="0.7" top="0.75" bottom="0.75" header="0.3" footer="0.3"/>
  <pageSetup paperSize="9" scale="9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3"/>
  <sheetViews>
    <sheetView workbookViewId="0">
      <selection activeCell="I188" sqref="I188"/>
    </sheetView>
  </sheetViews>
  <sheetFormatPr defaultRowHeight="15" x14ac:dyDescent="0.25"/>
  <cols>
    <col min="1" max="1" width="4.5703125" customWidth="1"/>
    <col min="2" max="2" width="36.5703125" customWidth="1"/>
    <col min="3" max="3" width="14.140625" customWidth="1"/>
    <col min="4" max="5" width="11.28515625" customWidth="1"/>
    <col min="6" max="6" width="11.85546875" customWidth="1"/>
    <col min="7" max="7" width="10.7109375" customWidth="1"/>
    <col min="8" max="8" width="10.85546875" customWidth="1"/>
    <col min="9" max="9" width="11.5703125" customWidth="1"/>
    <col min="10" max="10" width="12.7109375" customWidth="1"/>
  </cols>
  <sheetData>
    <row r="1" spans="1:10" ht="13.5" customHeight="1" x14ac:dyDescent="0.25">
      <c r="A1" s="94"/>
      <c r="B1" s="54" t="s">
        <v>80</v>
      </c>
      <c r="C1" s="54"/>
      <c r="D1" s="54"/>
      <c r="E1" s="94"/>
      <c r="F1" s="94"/>
      <c r="G1" s="94"/>
      <c r="H1" s="94"/>
      <c r="I1" s="94"/>
      <c r="J1" s="94"/>
    </row>
    <row r="2" spans="1:10" ht="12.75" customHeight="1" x14ac:dyDescent="0.25">
      <c r="A2" s="94"/>
      <c r="B2" s="54" t="s">
        <v>64</v>
      </c>
      <c r="C2" s="54"/>
      <c r="D2" s="54"/>
      <c r="E2" s="94"/>
      <c r="F2" s="94"/>
      <c r="G2" s="94"/>
      <c r="H2" s="94"/>
      <c r="I2" s="94"/>
      <c r="J2" s="94"/>
    </row>
    <row r="3" spans="1:10" ht="12" customHeight="1" x14ac:dyDescent="0.25">
      <c r="A3" s="94"/>
      <c r="B3" s="54" t="s">
        <v>357</v>
      </c>
      <c r="C3" s="54"/>
      <c r="D3" s="54"/>
      <c r="E3" s="94"/>
      <c r="F3" s="94"/>
      <c r="G3" s="94"/>
      <c r="H3" s="94"/>
      <c r="I3" s="94"/>
      <c r="J3" s="94"/>
    </row>
    <row r="4" spans="1:10" ht="12" customHeight="1" x14ac:dyDescent="0.25">
      <c r="A4" s="94"/>
      <c r="B4" s="54"/>
      <c r="C4" s="54"/>
      <c r="D4" s="54"/>
      <c r="E4" s="94"/>
      <c r="F4" s="94"/>
      <c r="G4" s="94"/>
      <c r="H4" s="94"/>
      <c r="I4" s="94"/>
      <c r="J4" s="94"/>
    </row>
    <row r="5" spans="1:10" ht="15.75" x14ac:dyDescent="0.25">
      <c r="A5" s="1" t="s">
        <v>21</v>
      </c>
      <c r="B5" s="8" t="s">
        <v>6</v>
      </c>
      <c r="C5" s="59" t="s">
        <v>345</v>
      </c>
      <c r="D5" s="13">
        <v>43282</v>
      </c>
      <c r="E5" s="13">
        <v>43313</v>
      </c>
      <c r="F5" s="13">
        <v>43344</v>
      </c>
      <c r="G5" s="13">
        <v>43374</v>
      </c>
      <c r="H5" s="13">
        <v>43405</v>
      </c>
      <c r="I5" s="13">
        <v>43435</v>
      </c>
      <c r="J5" s="1" t="s">
        <v>81</v>
      </c>
    </row>
    <row r="6" spans="1:10" x14ac:dyDescent="0.25">
      <c r="A6" s="1">
        <v>1</v>
      </c>
      <c r="B6" s="1" t="s">
        <v>83</v>
      </c>
      <c r="C6" s="27">
        <v>16100</v>
      </c>
      <c r="D6" s="27">
        <v>0</v>
      </c>
      <c r="E6" s="27">
        <v>0</v>
      </c>
      <c r="F6" s="38">
        <v>0</v>
      </c>
      <c r="G6" s="27">
        <v>0</v>
      </c>
      <c r="H6" s="27">
        <v>0</v>
      </c>
      <c r="I6" s="27">
        <v>0</v>
      </c>
      <c r="J6" s="27">
        <f t="shared" ref="J6:J35" si="0">SUM(C6:I6)</f>
        <v>16100</v>
      </c>
    </row>
    <row r="7" spans="1:10" ht="15.75" x14ac:dyDescent="0.25">
      <c r="A7" s="1">
        <v>2</v>
      </c>
      <c r="B7" s="17" t="s">
        <v>95</v>
      </c>
      <c r="C7" s="68">
        <v>852900</v>
      </c>
      <c r="D7" s="27">
        <v>0</v>
      </c>
      <c r="E7" s="27">
        <v>0</v>
      </c>
      <c r="F7" s="38">
        <v>0</v>
      </c>
      <c r="G7" s="27">
        <v>0</v>
      </c>
      <c r="H7" s="27">
        <v>0</v>
      </c>
      <c r="I7" s="27">
        <v>0</v>
      </c>
      <c r="J7" s="27">
        <f t="shared" si="0"/>
        <v>852900</v>
      </c>
    </row>
    <row r="8" spans="1:10" x14ac:dyDescent="0.25">
      <c r="A8" s="1">
        <v>3</v>
      </c>
      <c r="B8" s="1" t="s">
        <v>82</v>
      </c>
      <c r="C8" s="27">
        <v>115500</v>
      </c>
      <c r="D8" s="27">
        <v>0</v>
      </c>
      <c r="E8" s="27">
        <v>0</v>
      </c>
      <c r="F8" s="38">
        <v>0</v>
      </c>
      <c r="G8" s="27">
        <v>0</v>
      </c>
      <c r="H8" s="27">
        <v>0</v>
      </c>
      <c r="I8" s="27">
        <v>0</v>
      </c>
      <c r="J8" s="27">
        <f t="shared" si="0"/>
        <v>115500</v>
      </c>
    </row>
    <row r="9" spans="1:10" x14ac:dyDescent="0.25">
      <c r="A9" s="1">
        <v>4</v>
      </c>
      <c r="B9" s="1" t="s">
        <v>107</v>
      </c>
      <c r="C9" s="27">
        <v>320120</v>
      </c>
      <c r="D9" s="27">
        <v>0</v>
      </c>
      <c r="E9" s="27">
        <v>0</v>
      </c>
      <c r="F9" s="38">
        <v>0</v>
      </c>
      <c r="G9" s="27">
        <v>0</v>
      </c>
      <c r="H9" s="27">
        <v>0</v>
      </c>
      <c r="I9" s="27">
        <v>0</v>
      </c>
      <c r="J9" s="27">
        <f t="shared" si="0"/>
        <v>320120</v>
      </c>
    </row>
    <row r="10" spans="1:10" x14ac:dyDescent="0.25">
      <c r="A10" s="1"/>
      <c r="B10" s="1" t="s">
        <v>123</v>
      </c>
      <c r="C10" s="27">
        <v>571500</v>
      </c>
      <c r="D10" s="27">
        <v>0</v>
      </c>
      <c r="E10" s="27">
        <v>0</v>
      </c>
      <c r="F10" s="38">
        <v>0</v>
      </c>
      <c r="G10" s="27">
        <v>0</v>
      </c>
      <c r="H10" s="27">
        <v>0</v>
      </c>
      <c r="I10" s="27">
        <v>0</v>
      </c>
      <c r="J10" s="27">
        <f t="shared" si="0"/>
        <v>571500</v>
      </c>
    </row>
    <row r="11" spans="1:10" x14ac:dyDescent="0.25">
      <c r="A11" s="1">
        <v>5</v>
      </c>
      <c r="B11" s="1" t="s">
        <v>84</v>
      </c>
      <c r="C11" s="27">
        <v>140858</v>
      </c>
      <c r="D11" s="27">
        <v>0</v>
      </c>
      <c r="E11" s="27">
        <v>0</v>
      </c>
      <c r="F11" s="38">
        <v>0</v>
      </c>
      <c r="G11" s="27">
        <v>0</v>
      </c>
      <c r="H11" s="27">
        <v>0</v>
      </c>
      <c r="I11" s="27">
        <v>0</v>
      </c>
      <c r="J11" s="27">
        <f t="shared" si="0"/>
        <v>140858</v>
      </c>
    </row>
    <row r="12" spans="1:10" x14ac:dyDescent="0.25">
      <c r="A12" s="1">
        <v>6</v>
      </c>
      <c r="B12" s="1" t="s">
        <v>109</v>
      </c>
      <c r="C12" s="27">
        <v>8790445</v>
      </c>
      <c r="D12" s="27">
        <v>928900</v>
      </c>
      <c r="E12" s="27">
        <v>0</v>
      </c>
      <c r="F12" s="38">
        <v>322250</v>
      </c>
      <c r="G12" s="27">
        <v>0</v>
      </c>
      <c r="H12" s="27">
        <v>0</v>
      </c>
      <c r="I12" s="27">
        <v>653500</v>
      </c>
      <c r="J12" s="27">
        <f t="shared" si="0"/>
        <v>10695095</v>
      </c>
    </row>
    <row r="13" spans="1:10" x14ac:dyDescent="0.25">
      <c r="A13" s="1">
        <v>7</v>
      </c>
      <c r="B13" s="1" t="s">
        <v>37</v>
      </c>
      <c r="C13" s="27">
        <v>3290355</v>
      </c>
      <c r="D13" s="27">
        <v>194070</v>
      </c>
      <c r="E13" s="27">
        <v>134300</v>
      </c>
      <c r="F13" s="38">
        <v>83000</v>
      </c>
      <c r="G13" s="27">
        <v>82000</v>
      </c>
      <c r="H13" s="27">
        <v>82000</v>
      </c>
      <c r="I13" s="27">
        <v>185600</v>
      </c>
      <c r="J13" s="27">
        <f t="shared" si="0"/>
        <v>4051325</v>
      </c>
    </row>
    <row r="14" spans="1:10" x14ac:dyDescent="0.25">
      <c r="A14" s="1">
        <v>8</v>
      </c>
      <c r="B14" s="1" t="s">
        <v>111</v>
      </c>
      <c r="C14" s="27">
        <v>3799679</v>
      </c>
      <c r="D14" s="27">
        <v>23460</v>
      </c>
      <c r="E14" s="27">
        <v>68850</v>
      </c>
      <c r="F14" s="38">
        <v>0</v>
      </c>
      <c r="G14" s="27">
        <v>22500</v>
      </c>
      <c r="H14" s="27">
        <v>75700</v>
      </c>
      <c r="I14" s="27">
        <v>0</v>
      </c>
      <c r="J14" s="27">
        <f t="shared" si="0"/>
        <v>3990189</v>
      </c>
    </row>
    <row r="15" spans="1:10" x14ac:dyDescent="0.25">
      <c r="A15" s="1">
        <v>9</v>
      </c>
      <c r="B15" s="1" t="s">
        <v>96</v>
      </c>
      <c r="C15" s="27">
        <v>838750</v>
      </c>
      <c r="D15" s="27">
        <v>50700</v>
      </c>
      <c r="E15" s="27">
        <v>0</v>
      </c>
      <c r="F15" s="38">
        <v>50000</v>
      </c>
      <c r="G15" s="27">
        <v>49200</v>
      </c>
      <c r="H15" s="27">
        <v>0</v>
      </c>
      <c r="I15" s="27">
        <v>29800</v>
      </c>
      <c r="J15" s="27">
        <f t="shared" si="0"/>
        <v>1018450</v>
      </c>
    </row>
    <row r="16" spans="1:10" x14ac:dyDescent="0.25">
      <c r="A16" s="1">
        <v>10</v>
      </c>
      <c r="B16" s="1" t="s">
        <v>217</v>
      </c>
      <c r="C16" s="27">
        <v>547163</v>
      </c>
      <c r="D16" s="27">
        <v>0</v>
      </c>
      <c r="E16" s="27">
        <v>14300</v>
      </c>
      <c r="F16" s="38">
        <v>0</v>
      </c>
      <c r="G16" s="27">
        <v>4900</v>
      </c>
      <c r="H16" s="27">
        <v>4900</v>
      </c>
      <c r="I16" s="27">
        <v>21000</v>
      </c>
      <c r="J16" s="27">
        <f t="shared" si="0"/>
        <v>592263</v>
      </c>
    </row>
    <row r="17" spans="1:10" x14ac:dyDescent="0.25">
      <c r="A17" s="1">
        <v>11</v>
      </c>
      <c r="B17" s="1" t="s">
        <v>336</v>
      </c>
      <c r="C17" s="27">
        <v>192980</v>
      </c>
      <c r="D17" s="27">
        <v>0</v>
      </c>
      <c r="E17" s="27">
        <v>0</v>
      </c>
      <c r="F17" s="38">
        <v>0</v>
      </c>
      <c r="G17" s="27">
        <v>0</v>
      </c>
      <c r="H17" s="27">
        <v>0</v>
      </c>
      <c r="I17" s="27">
        <v>0</v>
      </c>
      <c r="J17" s="27">
        <f t="shared" si="0"/>
        <v>192980</v>
      </c>
    </row>
    <row r="18" spans="1:10" x14ac:dyDescent="0.25">
      <c r="A18" s="1"/>
      <c r="B18" s="1" t="s">
        <v>108</v>
      </c>
      <c r="C18" s="27">
        <v>135254</v>
      </c>
      <c r="D18" s="27">
        <v>2200</v>
      </c>
      <c r="E18" s="27">
        <v>0</v>
      </c>
      <c r="F18" s="38">
        <v>12420</v>
      </c>
      <c r="G18" s="27">
        <v>3200</v>
      </c>
      <c r="H18" s="27">
        <v>3200</v>
      </c>
      <c r="I18" s="27">
        <v>0</v>
      </c>
      <c r="J18" s="27">
        <f t="shared" si="0"/>
        <v>156274</v>
      </c>
    </row>
    <row r="19" spans="1:10" x14ac:dyDescent="0.25">
      <c r="A19" s="1"/>
      <c r="B19" s="1" t="s">
        <v>119</v>
      </c>
      <c r="C19" s="27">
        <v>215552</v>
      </c>
      <c r="D19" s="27">
        <v>1580</v>
      </c>
      <c r="E19" s="27">
        <v>0</v>
      </c>
      <c r="F19" s="38">
        <v>6865</v>
      </c>
      <c r="G19" s="27">
        <v>25840</v>
      </c>
      <c r="H19" s="27">
        <v>6204</v>
      </c>
      <c r="I19" s="27">
        <v>0</v>
      </c>
      <c r="J19" s="27">
        <f t="shared" si="0"/>
        <v>256041</v>
      </c>
    </row>
    <row r="20" spans="1:10" x14ac:dyDescent="0.25">
      <c r="A20" s="1">
        <v>12</v>
      </c>
      <c r="B20" s="1" t="s">
        <v>331</v>
      </c>
      <c r="C20" s="27">
        <v>666220</v>
      </c>
      <c r="D20" s="27">
        <v>0</v>
      </c>
      <c r="E20" s="27">
        <v>0</v>
      </c>
      <c r="F20" s="38">
        <v>0</v>
      </c>
      <c r="G20" s="27">
        <v>0</v>
      </c>
      <c r="H20" s="27">
        <v>0</v>
      </c>
      <c r="I20" s="27">
        <v>0</v>
      </c>
      <c r="J20" s="27">
        <f t="shared" si="0"/>
        <v>666220</v>
      </c>
    </row>
    <row r="21" spans="1:10" x14ac:dyDescent="0.25">
      <c r="A21" s="1">
        <v>13</v>
      </c>
      <c r="B21" s="1" t="s">
        <v>88</v>
      </c>
      <c r="C21" s="27">
        <v>158109</v>
      </c>
      <c r="D21" s="27">
        <v>0</v>
      </c>
      <c r="E21" s="27">
        <v>0</v>
      </c>
      <c r="F21" s="38">
        <v>0</v>
      </c>
      <c r="G21" s="27">
        <v>0</v>
      </c>
      <c r="H21" s="27">
        <v>0</v>
      </c>
      <c r="I21" s="27">
        <v>0</v>
      </c>
      <c r="J21" s="27">
        <f t="shared" si="0"/>
        <v>158109</v>
      </c>
    </row>
    <row r="22" spans="1:10" x14ac:dyDescent="0.25">
      <c r="A22" s="1">
        <v>14</v>
      </c>
      <c r="B22" s="1" t="s">
        <v>89</v>
      </c>
      <c r="C22" s="27">
        <v>104276</v>
      </c>
      <c r="D22" s="27">
        <v>0</v>
      </c>
      <c r="E22" s="27">
        <v>0</v>
      </c>
      <c r="F22" s="38">
        <v>270</v>
      </c>
      <c r="G22" s="27">
        <v>0</v>
      </c>
      <c r="H22" s="27">
        <v>0</v>
      </c>
      <c r="I22" s="27">
        <v>0</v>
      </c>
      <c r="J22" s="27">
        <f t="shared" si="0"/>
        <v>104546</v>
      </c>
    </row>
    <row r="23" spans="1:10" x14ac:dyDescent="0.25">
      <c r="A23" s="1">
        <v>14</v>
      </c>
      <c r="B23" s="1" t="s">
        <v>90</v>
      </c>
      <c r="C23" s="27">
        <v>661000</v>
      </c>
      <c r="D23" s="27">
        <v>0</v>
      </c>
      <c r="E23" s="27">
        <v>0</v>
      </c>
      <c r="F23" s="38">
        <v>0</v>
      </c>
      <c r="G23" s="27">
        <v>61500</v>
      </c>
      <c r="H23" s="27">
        <v>0</v>
      </c>
      <c r="I23" s="27">
        <v>0</v>
      </c>
      <c r="J23" s="27">
        <f t="shared" si="0"/>
        <v>722500</v>
      </c>
    </row>
    <row r="24" spans="1:10" x14ac:dyDescent="0.25">
      <c r="A24" s="1">
        <v>15</v>
      </c>
      <c r="B24" s="76" t="s">
        <v>120</v>
      </c>
      <c r="C24" s="27">
        <v>80483</v>
      </c>
      <c r="D24" s="27">
        <v>0</v>
      </c>
      <c r="E24" s="27">
        <v>0</v>
      </c>
      <c r="F24" s="38">
        <v>0</v>
      </c>
      <c r="G24" s="27">
        <v>0</v>
      </c>
      <c r="H24" s="27">
        <v>0</v>
      </c>
      <c r="I24" s="27">
        <v>0</v>
      </c>
      <c r="J24" s="27">
        <f t="shared" si="0"/>
        <v>80483</v>
      </c>
    </row>
    <row r="25" spans="1:10" x14ac:dyDescent="0.25">
      <c r="A25" s="1">
        <v>16</v>
      </c>
      <c r="B25" s="1" t="s">
        <v>128</v>
      </c>
      <c r="C25" s="27">
        <v>266910</v>
      </c>
      <c r="D25" s="27">
        <v>28420</v>
      </c>
      <c r="E25" s="27">
        <v>9964</v>
      </c>
      <c r="F25" s="38">
        <v>6359</v>
      </c>
      <c r="G25" s="27">
        <v>16479</v>
      </c>
      <c r="H25" s="27">
        <v>11735</v>
      </c>
      <c r="I25" s="27">
        <v>22215</v>
      </c>
      <c r="J25" s="27">
        <f t="shared" si="0"/>
        <v>362082</v>
      </c>
    </row>
    <row r="26" spans="1:10" x14ac:dyDescent="0.25">
      <c r="A26" s="1">
        <v>17</v>
      </c>
      <c r="B26" s="1" t="s">
        <v>127</v>
      </c>
      <c r="C26" s="27">
        <v>40000</v>
      </c>
      <c r="D26" s="27">
        <v>0</v>
      </c>
      <c r="E26" s="27">
        <v>1000</v>
      </c>
      <c r="F26" s="38">
        <v>0</v>
      </c>
      <c r="G26" s="27">
        <v>0</v>
      </c>
      <c r="H26" s="27">
        <v>0</v>
      </c>
      <c r="I26" s="27">
        <v>0</v>
      </c>
      <c r="J26" s="27">
        <f t="shared" si="0"/>
        <v>41000</v>
      </c>
    </row>
    <row r="27" spans="1:10" x14ac:dyDescent="0.25">
      <c r="A27" s="1">
        <v>18</v>
      </c>
      <c r="B27" s="1" t="s">
        <v>129</v>
      </c>
      <c r="C27" s="27">
        <v>1639335</v>
      </c>
      <c r="D27" s="27">
        <v>0</v>
      </c>
      <c r="E27" s="27">
        <v>225800</v>
      </c>
      <c r="F27" s="38">
        <v>0</v>
      </c>
      <c r="G27" s="27">
        <v>0</v>
      </c>
      <c r="H27" s="27">
        <v>54000</v>
      </c>
      <c r="I27" s="27">
        <v>145800</v>
      </c>
      <c r="J27" s="27">
        <f t="shared" si="0"/>
        <v>2064935</v>
      </c>
    </row>
    <row r="28" spans="1:10" x14ac:dyDescent="0.25">
      <c r="A28" s="1">
        <v>19</v>
      </c>
      <c r="B28" s="1" t="s">
        <v>157</v>
      </c>
      <c r="C28" s="27">
        <v>14836</v>
      </c>
      <c r="D28" s="27">
        <v>0</v>
      </c>
      <c r="E28" s="27">
        <v>0</v>
      </c>
      <c r="F28" s="38">
        <v>14090</v>
      </c>
      <c r="G28" s="27">
        <v>0</v>
      </c>
      <c r="H28" s="27">
        <v>0</v>
      </c>
      <c r="I28" s="27">
        <v>0</v>
      </c>
      <c r="J28" s="27">
        <f t="shared" si="0"/>
        <v>28926</v>
      </c>
    </row>
    <row r="29" spans="1:10" x14ac:dyDescent="0.25">
      <c r="A29" s="1">
        <v>20</v>
      </c>
      <c r="B29" s="1" t="s">
        <v>158</v>
      </c>
      <c r="C29" s="27">
        <v>1360</v>
      </c>
      <c r="D29" s="27">
        <v>0</v>
      </c>
      <c r="E29" s="27">
        <v>0</v>
      </c>
      <c r="F29" s="38">
        <v>0</v>
      </c>
      <c r="G29" s="27">
        <v>0</v>
      </c>
      <c r="H29" s="27">
        <v>0</v>
      </c>
      <c r="I29" s="27">
        <v>0</v>
      </c>
      <c r="J29" s="27">
        <f t="shared" si="0"/>
        <v>1360</v>
      </c>
    </row>
    <row r="30" spans="1:10" x14ac:dyDescent="0.25">
      <c r="A30" s="66">
        <v>21</v>
      </c>
      <c r="B30" s="66" t="s">
        <v>209</v>
      </c>
      <c r="C30" s="27">
        <v>62573</v>
      </c>
      <c r="D30" s="27">
        <v>0</v>
      </c>
      <c r="E30" s="27">
        <v>0</v>
      </c>
      <c r="F30" s="90">
        <v>0</v>
      </c>
      <c r="G30" s="91">
        <v>0</v>
      </c>
      <c r="H30" s="91">
        <v>0</v>
      </c>
      <c r="I30" s="91">
        <v>0</v>
      </c>
      <c r="J30" s="91">
        <f t="shared" si="0"/>
        <v>62573</v>
      </c>
    </row>
    <row r="31" spans="1:10" x14ac:dyDescent="0.25">
      <c r="A31" s="66">
        <v>22</v>
      </c>
      <c r="B31" s="66" t="s">
        <v>210</v>
      </c>
      <c r="C31" s="27">
        <v>47610</v>
      </c>
      <c r="D31" s="27">
        <v>0</v>
      </c>
      <c r="E31" s="27">
        <v>0</v>
      </c>
      <c r="F31" s="90">
        <v>0</v>
      </c>
      <c r="G31" s="91">
        <v>0</v>
      </c>
      <c r="H31" s="91">
        <v>0</v>
      </c>
      <c r="I31" s="91">
        <v>0</v>
      </c>
      <c r="J31" s="91">
        <f t="shared" si="0"/>
        <v>47610</v>
      </c>
    </row>
    <row r="32" spans="1:10" x14ac:dyDescent="0.25">
      <c r="A32" s="3">
        <v>23</v>
      </c>
      <c r="B32" s="3" t="s">
        <v>130</v>
      </c>
      <c r="C32" s="15">
        <v>1812545</v>
      </c>
      <c r="D32" s="15">
        <v>0</v>
      </c>
      <c r="E32" s="15">
        <v>0</v>
      </c>
      <c r="F32" s="3">
        <v>0</v>
      </c>
      <c r="G32" s="15">
        <v>0</v>
      </c>
      <c r="H32" s="15">
        <v>0</v>
      </c>
      <c r="I32" s="15">
        <v>0</v>
      </c>
      <c r="J32" s="14">
        <f t="shared" si="0"/>
        <v>1812545</v>
      </c>
    </row>
    <row r="33" spans="1:10" x14ac:dyDescent="0.25">
      <c r="A33" s="3" t="s">
        <v>305</v>
      </c>
      <c r="B33" s="3" t="s">
        <v>306</v>
      </c>
      <c r="C33" s="15">
        <v>829500</v>
      </c>
      <c r="D33" s="15">
        <v>200500</v>
      </c>
      <c r="E33" s="15">
        <v>230000</v>
      </c>
      <c r="F33" s="3">
        <v>75700</v>
      </c>
      <c r="G33" s="15">
        <v>99300</v>
      </c>
      <c r="H33" s="15">
        <v>208900</v>
      </c>
      <c r="I33" s="15">
        <v>297000</v>
      </c>
      <c r="J33" s="14">
        <f t="shared" si="0"/>
        <v>1940900</v>
      </c>
    </row>
    <row r="34" spans="1:10" x14ac:dyDescent="0.25">
      <c r="A34" s="1">
        <v>24</v>
      </c>
      <c r="B34" s="1" t="s">
        <v>216</v>
      </c>
      <c r="C34" s="14">
        <v>3516239</v>
      </c>
      <c r="D34" s="14">
        <v>134500</v>
      </c>
      <c r="E34" s="14">
        <v>152795</v>
      </c>
      <c r="F34" s="1">
        <v>103000</v>
      </c>
      <c r="G34" s="14">
        <v>87750</v>
      </c>
      <c r="H34" s="14">
        <v>89660</v>
      </c>
      <c r="I34" s="14">
        <v>88000</v>
      </c>
      <c r="J34" s="14">
        <f t="shared" si="0"/>
        <v>4171944</v>
      </c>
    </row>
    <row r="35" spans="1:10" x14ac:dyDescent="0.25">
      <c r="A35" s="1">
        <v>25</v>
      </c>
      <c r="B35" s="1" t="s">
        <v>282</v>
      </c>
      <c r="C35" s="14">
        <v>22000</v>
      </c>
      <c r="D35" s="14">
        <v>0</v>
      </c>
      <c r="E35" s="14">
        <v>0</v>
      </c>
      <c r="F35" s="1">
        <v>3500</v>
      </c>
      <c r="G35" s="14">
        <v>0</v>
      </c>
      <c r="H35" s="14">
        <v>0</v>
      </c>
      <c r="I35" s="14">
        <v>0</v>
      </c>
      <c r="J35" s="14">
        <f t="shared" si="0"/>
        <v>25500</v>
      </c>
    </row>
    <row r="36" spans="1:10" x14ac:dyDescent="0.25">
      <c r="A36" s="1"/>
      <c r="B36" s="3" t="s">
        <v>93</v>
      </c>
      <c r="C36" s="15">
        <f t="shared" ref="C36:J36" si="1">SUM(C6:C35)</f>
        <v>29750152</v>
      </c>
      <c r="D36" s="15">
        <f t="shared" si="1"/>
        <v>1564330</v>
      </c>
      <c r="E36" s="15">
        <f t="shared" si="1"/>
        <v>837009</v>
      </c>
      <c r="F36" s="15">
        <f t="shared" si="1"/>
        <v>677454</v>
      </c>
      <c r="G36" s="15">
        <f t="shared" si="1"/>
        <v>452669</v>
      </c>
      <c r="H36" s="15">
        <f>SUM(H6:H35)</f>
        <v>536299</v>
      </c>
      <c r="I36" s="15">
        <f t="shared" si="1"/>
        <v>1442915</v>
      </c>
      <c r="J36" s="15">
        <f t="shared" si="1"/>
        <v>35260828</v>
      </c>
    </row>
    <row r="40" spans="1:10" x14ac:dyDescent="0.25">
      <c r="A40" s="1"/>
      <c r="B40" s="3" t="s">
        <v>337</v>
      </c>
      <c r="C40" s="59" t="s">
        <v>345</v>
      </c>
      <c r="D40" s="13">
        <v>43282</v>
      </c>
      <c r="E40" s="13">
        <v>43313</v>
      </c>
      <c r="F40" s="13">
        <v>43344</v>
      </c>
      <c r="G40" s="13">
        <v>43374</v>
      </c>
      <c r="H40" s="13">
        <v>43405</v>
      </c>
      <c r="I40" s="13">
        <v>43435</v>
      </c>
      <c r="J40" s="1" t="s">
        <v>81</v>
      </c>
    </row>
    <row r="41" spans="1:10" x14ac:dyDescent="0.25">
      <c r="A41" s="1">
        <v>16</v>
      </c>
      <c r="B41" s="1" t="s">
        <v>92</v>
      </c>
      <c r="C41" s="1">
        <v>183916</v>
      </c>
      <c r="D41" s="14">
        <v>4850</v>
      </c>
      <c r="E41" s="14">
        <v>5050</v>
      </c>
      <c r="F41" s="1">
        <v>5032</v>
      </c>
      <c r="G41" s="14">
        <v>5142</v>
      </c>
      <c r="H41" s="27">
        <v>4901</v>
      </c>
      <c r="I41" s="27">
        <v>4929</v>
      </c>
      <c r="J41" s="14">
        <f t="shared" ref="J41:J59" si="2">SUM(C41:I41)</f>
        <v>213820</v>
      </c>
    </row>
    <row r="42" spans="1:10" x14ac:dyDescent="0.25">
      <c r="A42" s="1">
        <v>17</v>
      </c>
      <c r="B42" s="1" t="s">
        <v>97</v>
      </c>
      <c r="C42" s="1">
        <v>190000</v>
      </c>
      <c r="D42" s="14">
        <v>0</v>
      </c>
      <c r="E42" s="14">
        <v>0</v>
      </c>
      <c r="F42" s="1">
        <v>0</v>
      </c>
      <c r="G42" s="14">
        <v>0</v>
      </c>
      <c r="H42" s="27">
        <v>0</v>
      </c>
      <c r="I42" s="27">
        <v>0</v>
      </c>
      <c r="J42" s="14">
        <f t="shared" si="2"/>
        <v>190000</v>
      </c>
    </row>
    <row r="43" spans="1:10" x14ac:dyDescent="0.25">
      <c r="A43" s="1">
        <v>18</v>
      </c>
      <c r="B43" s="1" t="s">
        <v>98</v>
      </c>
      <c r="C43" s="1">
        <v>72697</v>
      </c>
      <c r="D43" s="14">
        <v>3556</v>
      </c>
      <c r="E43" s="14">
        <v>1954</v>
      </c>
      <c r="F43" s="1">
        <v>2360</v>
      </c>
      <c r="G43" s="14">
        <v>1080</v>
      </c>
      <c r="H43" s="27">
        <v>1910</v>
      </c>
      <c r="I43" s="27">
        <v>2105</v>
      </c>
      <c r="J43" s="14">
        <f t="shared" si="2"/>
        <v>85662</v>
      </c>
    </row>
    <row r="44" spans="1:10" x14ac:dyDescent="0.25">
      <c r="A44" s="1">
        <v>19</v>
      </c>
      <c r="B44" s="1" t="s">
        <v>46</v>
      </c>
      <c r="C44" s="1">
        <v>65324</v>
      </c>
      <c r="D44" s="14">
        <v>869</v>
      </c>
      <c r="E44" s="14">
        <v>1054</v>
      </c>
      <c r="F44" s="1">
        <v>975</v>
      </c>
      <c r="G44" s="14">
        <v>420</v>
      </c>
      <c r="H44" s="27">
        <v>450</v>
      </c>
      <c r="I44" s="27">
        <v>730</v>
      </c>
      <c r="J44" s="14">
        <f t="shared" si="2"/>
        <v>69822</v>
      </c>
    </row>
    <row r="45" spans="1:10" x14ac:dyDescent="0.25">
      <c r="A45" s="1">
        <v>20</v>
      </c>
      <c r="B45" s="1" t="s">
        <v>14</v>
      </c>
      <c r="C45" s="1">
        <v>92328</v>
      </c>
      <c r="D45" s="14">
        <v>1250</v>
      </c>
      <c r="E45" s="14">
        <v>2692</v>
      </c>
      <c r="F45" s="1">
        <v>1760</v>
      </c>
      <c r="G45" s="14">
        <v>1496</v>
      </c>
      <c r="H45" s="27">
        <v>1495</v>
      </c>
      <c r="I45" s="27">
        <v>1560</v>
      </c>
      <c r="J45" s="14">
        <f t="shared" si="2"/>
        <v>102581</v>
      </c>
    </row>
    <row r="46" spans="1:10" x14ac:dyDescent="0.25">
      <c r="A46" s="3">
        <v>21</v>
      </c>
      <c r="B46" s="3" t="s">
        <v>332</v>
      </c>
      <c r="C46" s="1">
        <v>4200</v>
      </c>
      <c r="D46" s="14">
        <v>78644</v>
      </c>
      <c r="E46" s="14">
        <v>19589</v>
      </c>
      <c r="F46" s="1">
        <v>97077</v>
      </c>
      <c r="G46" s="14">
        <v>65372</v>
      </c>
      <c r="H46" s="27">
        <v>18886</v>
      </c>
      <c r="I46" s="27">
        <v>0</v>
      </c>
      <c r="J46" s="14">
        <f t="shared" si="2"/>
        <v>283768</v>
      </c>
    </row>
    <row r="47" spans="1:10" x14ac:dyDescent="0.25">
      <c r="A47" s="3"/>
      <c r="B47" s="3" t="s">
        <v>348</v>
      </c>
      <c r="C47" s="1">
        <v>0</v>
      </c>
      <c r="D47" s="14">
        <v>8000</v>
      </c>
      <c r="E47" s="14">
        <v>16000</v>
      </c>
      <c r="F47" s="1">
        <v>0</v>
      </c>
      <c r="G47" s="14">
        <v>5500</v>
      </c>
      <c r="H47" s="27">
        <v>0</v>
      </c>
      <c r="I47" s="27">
        <v>0</v>
      </c>
      <c r="J47" s="14">
        <f t="shared" si="2"/>
        <v>29500</v>
      </c>
    </row>
    <row r="48" spans="1:10" x14ac:dyDescent="0.25">
      <c r="A48" s="1">
        <v>22</v>
      </c>
      <c r="B48" s="1" t="s">
        <v>333</v>
      </c>
      <c r="C48" s="1">
        <v>9100</v>
      </c>
      <c r="D48" s="14">
        <v>19012</v>
      </c>
      <c r="E48" s="14">
        <v>0</v>
      </c>
      <c r="F48" s="1">
        <v>79777</v>
      </c>
      <c r="G48" s="14">
        <v>2300</v>
      </c>
      <c r="H48" s="27">
        <v>95015</v>
      </c>
      <c r="I48" s="27">
        <v>33693</v>
      </c>
      <c r="J48" s="14">
        <f t="shared" si="2"/>
        <v>238897</v>
      </c>
    </row>
    <row r="49" spans="1:10" x14ac:dyDescent="0.25">
      <c r="A49" s="1">
        <v>23</v>
      </c>
      <c r="B49" s="1" t="s">
        <v>352</v>
      </c>
      <c r="C49" s="1">
        <v>0</v>
      </c>
      <c r="D49" s="14">
        <v>0</v>
      </c>
      <c r="E49" s="14">
        <v>0</v>
      </c>
      <c r="F49" s="1">
        <v>143200</v>
      </c>
      <c r="G49" s="14">
        <v>0</v>
      </c>
      <c r="H49" s="27">
        <v>162700</v>
      </c>
      <c r="I49" s="27">
        <v>0</v>
      </c>
      <c r="J49" s="14">
        <f t="shared" si="2"/>
        <v>305900</v>
      </c>
    </row>
    <row r="50" spans="1:10" x14ac:dyDescent="0.25">
      <c r="A50" s="1"/>
      <c r="B50" s="1" t="s">
        <v>353</v>
      </c>
      <c r="C50" s="1">
        <v>0</v>
      </c>
      <c r="D50" s="14">
        <v>0</v>
      </c>
      <c r="E50" s="14">
        <v>0</v>
      </c>
      <c r="F50" s="1">
        <v>37790</v>
      </c>
      <c r="G50" s="14">
        <v>0</v>
      </c>
      <c r="H50" s="27">
        <v>25000</v>
      </c>
      <c r="I50" s="27">
        <v>10000</v>
      </c>
      <c r="J50" s="14">
        <f t="shared" si="2"/>
        <v>72790</v>
      </c>
    </row>
    <row r="51" spans="1:10" x14ac:dyDescent="0.25">
      <c r="A51" s="1">
        <v>24</v>
      </c>
      <c r="B51" s="1" t="s">
        <v>351</v>
      </c>
      <c r="C51" s="1">
        <v>31740</v>
      </c>
      <c r="D51" s="14">
        <v>126670</v>
      </c>
      <c r="E51" s="14">
        <v>0</v>
      </c>
      <c r="F51" s="1">
        <v>32750</v>
      </c>
      <c r="G51" s="14">
        <v>55570</v>
      </c>
      <c r="H51" s="27">
        <v>0</v>
      </c>
      <c r="I51" s="27">
        <v>0</v>
      </c>
      <c r="J51" s="14">
        <f t="shared" si="2"/>
        <v>246730</v>
      </c>
    </row>
    <row r="52" spans="1:10" x14ac:dyDescent="0.25">
      <c r="A52" s="1"/>
      <c r="B52" s="3" t="s">
        <v>350</v>
      </c>
      <c r="C52" s="1">
        <v>0</v>
      </c>
      <c r="D52" s="14">
        <v>10000</v>
      </c>
      <c r="E52" s="14">
        <v>26000</v>
      </c>
      <c r="F52" s="1">
        <v>5000</v>
      </c>
      <c r="G52" s="14">
        <v>6000</v>
      </c>
      <c r="H52" s="27">
        <v>10000</v>
      </c>
      <c r="I52" s="27">
        <v>0</v>
      </c>
      <c r="J52" s="14">
        <f t="shared" si="2"/>
        <v>57000</v>
      </c>
    </row>
    <row r="53" spans="1:10" x14ac:dyDescent="0.25">
      <c r="A53" s="1">
        <v>25</v>
      </c>
      <c r="B53" s="1" t="s">
        <v>347</v>
      </c>
      <c r="C53" s="1">
        <v>0</v>
      </c>
      <c r="D53" s="14">
        <v>46390</v>
      </c>
      <c r="E53" s="14">
        <v>52978</v>
      </c>
      <c r="F53" s="1">
        <v>40205</v>
      </c>
      <c r="G53" s="14">
        <v>44400</v>
      </c>
      <c r="H53" s="27">
        <v>60884</v>
      </c>
      <c r="I53" s="27">
        <v>24350</v>
      </c>
      <c r="J53" s="14">
        <f t="shared" si="2"/>
        <v>269207</v>
      </c>
    </row>
    <row r="54" spans="1:10" x14ac:dyDescent="0.25">
      <c r="A54" s="1">
        <v>26</v>
      </c>
      <c r="B54" s="1" t="s">
        <v>349</v>
      </c>
      <c r="C54" s="1">
        <v>0</v>
      </c>
      <c r="D54" s="14">
        <v>20730</v>
      </c>
      <c r="E54" s="14">
        <v>0</v>
      </c>
      <c r="F54" s="1">
        <v>0</v>
      </c>
      <c r="G54" s="14">
        <v>0</v>
      </c>
      <c r="H54" s="27">
        <v>0</v>
      </c>
      <c r="I54" s="27">
        <v>0</v>
      </c>
      <c r="J54" s="14">
        <f t="shared" si="2"/>
        <v>20730</v>
      </c>
    </row>
    <row r="55" spans="1:10" x14ac:dyDescent="0.25">
      <c r="A55" s="1">
        <v>27</v>
      </c>
      <c r="B55" s="1" t="s">
        <v>354</v>
      </c>
      <c r="C55" s="1">
        <v>0</v>
      </c>
      <c r="D55" s="14">
        <v>0</v>
      </c>
      <c r="E55" s="14">
        <v>0</v>
      </c>
      <c r="F55" s="1">
        <v>19060</v>
      </c>
      <c r="G55" s="14">
        <v>3280</v>
      </c>
      <c r="H55" s="27">
        <v>2100</v>
      </c>
      <c r="I55" s="27">
        <v>58200</v>
      </c>
      <c r="J55" s="14">
        <f t="shared" si="2"/>
        <v>82640</v>
      </c>
    </row>
    <row r="56" spans="1:10" x14ac:dyDescent="0.25">
      <c r="A56" s="1">
        <v>28</v>
      </c>
      <c r="B56" s="3" t="s">
        <v>356</v>
      </c>
      <c r="C56" s="1">
        <v>0</v>
      </c>
      <c r="D56" s="14">
        <v>0</v>
      </c>
      <c r="E56" s="14">
        <v>0</v>
      </c>
      <c r="F56" s="1">
        <v>0</v>
      </c>
      <c r="G56" s="14">
        <v>0</v>
      </c>
      <c r="H56" s="27">
        <v>0</v>
      </c>
      <c r="I56" s="27">
        <v>10000</v>
      </c>
      <c r="J56" s="14">
        <f t="shared" si="2"/>
        <v>10000</v>
      </c>
    </row>
    <row r="57" spans="1:10" x14ac:dyDescent="0.25">
      <c r="A57" s="1">
        <v>29</v>
      </c>
      <c r="B57" s="3" t="s">
        <v>355</v>
      </c>
      <c r="C57" s="1">
        <v>0</v>
      </c>
      <c r="D57" s="14">
        <v>0</v>
      </c>
      <c r="E57" s="14">
        <v>0</v>
      </c>
      <c r="F57" s="1">
        <v>0</v>
      </c>
      <c r="G57" s="14">
        <v>40000</v>
      </c>
      <c r="H57" s="27">
        <v>0</v>
      </c>
      <c r="I57" s="27">
        <v>110000</v>
      </c>
      <c r="J57" s="14">
        <f t="shared" si="2"/>
        <v>150000</v>
      </c>
    </row>
    <row r="58" spans="1:10" x14ac:dyDescent="0.25">
      <c r="A58" s="1">
        <v>30</v>
      </c>
      <c r="B58" s="38" t="s">
        <v>275</v>
      </c>
      <c r="C58" s="78">
        <v>2280400</v>
      </c>
      <c r="D58" s="77">
        <v>0</v>
      </c>
      <c r="E58" s="77">
        <v>30000</v>
      </c>
      <c r="F58" s="78">
        <v>702000</v>
      </c>
      <c r="G58" s="77">
        <v>31000</v>
      </c>
      <c r="H58" s="79">
        <v>0</v>
      </c>
      <c r="I58" s="79">
        <v>0</v>
      </c>
      <c r="J58" s="77">
        <f t="shared" si="2"/>
        <v>3043400</v>
      </c>
    </row>
    <row r="59" spans="1:10" x14ac:dyDescent="0.25">
      <c r="A59" s="1">
        <v>31</v>
      </c>
      <c r="B59" s="1" t="s">
        <v>314</v>
      </c>
      <c r="C59" s="78">
        <v>835000</v>
      </c>
      <c r="D59" s="77">
        <v>0</v>
      </c>
      <c r="E59" s="77">
        <v>0</v>
      </c>
      <c r="F59" s="78">
        <v>0</v>
      </c>
      <c r="G59" s="77">
        <v>0</v>
      </c>
      <c r="H59" s="79">
        <v>0</v>
      </c>
      <c r="I59" s="79">
        <v>0</v>
      </c>
      <c r="J59" s="77">
        <f t="shared" si="2"/>
        <v>835000</v>
      </c>
    </row>
    <row r="60" spans="1:10" x14ac:dyDescent="0.25">
      <c r="A60" s="1"/>
      <c r="B60" s="3" t="s">
        <v>93</v>
      </c>
      <c r="C60" s="74">
        <f t="shared" ref="C60:J60" si="3">SUM(C41:C57)</f>
        <v>649305</v>
      </c>
      <c r="D60" s="74">
        <f t="shared" si="3"/>
        <v>319971</v>
      </c>
      <c r="E60" s="74">
        <f t="shared" si="3"/>
        <v>125317</v>
      </c>
      <c r="F60" s="74">
        <f t="shared" si="3"/>
        <v>464986</v>
      </c>
      <c r="G60" s="74">
        <f t="shared" si="3"/>
        <v>230560</v>
      </c>
      <c r="H60" s="74">
        <f t="shared" si="3"/>
        <v>383341</v>
      </c>
      <c r="I60" s="74">
        <f t="shared" si="3"/>
        <v>255567</v>
      </c>
      <c r="J60" s="74">
        <f t="shared" si="3"/>
        <v>2429047</v>
      </c>
    </row>
    <row r="61" spans="1:10" ht="15.75" x14ac:dyDescent="0.25">
      <c r="A61" s="1"/>
      <c r="B61" s="8" t="s">
        <v>94</v>
      </c>
      <c r="C61" s="16">
        <f t="shared" ref="C61:I61" si="4">C36+C60</f>
        <v>30399457</v>
      </c>
      <c r="D61" s="16">
        <f t="shared" si="4"/>
        <v>1884301</v>
      </c>
      <c r="E61" s="16">
        <f t="shared" si="4"/>
        <v>962326</v>
      </c>
      <c r="F61" s="16">
        <f t="shared" si="4"/>
        <v>1142440</v>
      </c>
      <c r="G61" s="16">
        <f t="shared" si="4"/>
        <v>683229</v>
      </c>
      <c r="H61" s="16">
        <f t="shared" si="4"/>
        <v>919640</v>
      </c>
      <c r="I61" s="16">
        <f t="shared" si="4"/>
        <v>1698482</v>
      </c>
      <c r="J61" s="16">
        <f>SUM(J36+J60)</f>
        <v>37689875</v>
      </c>
    </row>
    <row r="63" spans="1:10" x14ac:dyDescent="0.25">
      <c r="J63" s="26"/>
    </row>
    <row r="68" spans="1:7" ht="18.75" x14ac:dyDescent="0.3">
      <c r="B68" s="5"/>
    </row>
    <row r="69" spans="1:7" ht="18.75" x14ac:dyDescent="0.3">
      <c r="B69" s="5"/>
    </row>
    <row r="70" spans="1:7" ht="18.75" x14ac:dyDescent="0.3">
      <c r="B70" s="5"/>
    </row>
    <row r="71" spans="1:7" ht="18.75" x14ac:dyDescent="0.3">
      <c r="B71" s="5"/>
    </row>
    <row r="72" spans="1:7" ht="18.75" x14ac:dyDescent="0.3">
      <c r="B72" s="5"/>
    </row>
    <row r="73" spans="1:7" x14ac:dyDescent="0.25">
      <c r="A73" s="61"/>
      <c r="B73" s="61"/>
      <c r="C73" s="80"/>
      <c r="D73" s="60"/>
      <c r="E73" s="60"/>
      <c r="F73" s="60"/>
      <c r="G73" s="61"/>
    </row>
    <row r="74" spans="1:7" x14ac:dyDescent="0.25">
      <c r="A74" s="25"/>
      <c r="B74" s="22"/>
      <c r="C74" s="81"/>
      <c r="D74" s="22"/>
      <c r="E74" s="22"/>
      <c r="F74" s="22"/>
      <c r="G74" s="82"/>
    </row>
    <row r="75" spans="1:7" x14ac:dyDescent="0.25">
      <c r="A75" s="25"/>
      <c r="B75" s="22"/>
      <c r="C75" s="81"/>
      <c r="D75" s="22"/>
      <c r="E75" s="22"/>
      <c r="F75" s="22"/>
      <c r="G75" s="82"/>
    </row>
    <row r="76" spans="1:7" x14ac:dyDescent="0.25">
      <c r="A76" s="25"/>
      <c r="B76" s="22"/>
      <c r="C76" s="81"/>
      <c r="D76" s="22"/>
      <c r="E76" s="22"/>
      <c r="F76" s="22"/>
      <c r="G76" s="82"/>
    </row>
    <row r="77" spans="1:7" x14ac:dyDescent="0.25">
      <c r="A77" s="25"/>
      <c r="B77" s="22"/>
      <c r="C77" s="81"/>
      <c r="D77" s="22"/>
      <c r="E77" s="22"/>
      <c r="F77" s="22"/>
      <c r="G77" s="82"/>
    </row>
    <row r="78" spans="1:7" ht="18.75" x14ac:dyDescent="0.3">
      <c r="B78" s="5" t="s">
        <v>80</v>
      </c>
    </row>
    <row r="79" spans="1:7" ht="18.75" x14ac:dyDescent="0.3">
      <c r="B79" s="5" t="s">
        <v>64</v>
      </c>
    </row>
    <row r="80" spans="1:7" ht="18.75" x14ac:dyDescent="0.3">
      <c r="B80" s="5" t="s">
        <v>271</v>
      </c>
    </row>
    <row r="81" spans="1:10" ht="18.75" x14ac:dyDescent="0.3">
      <c r="B81" s="5" t="s">
        <v>358</v>
      </c>
    </row>
    <row r="82" spans="1:10" ht="18.75" x14ac:dyDescent="0.3">
      <c r="B82" s="5"/>
    </row>
    <row r="83" spans="1:10" x14ac:dyDescent="0.25">
      <c r="A83" s="3" t="s">
        <v>163</v>
      </c>
      <c r="B83" s="3" t="s">
        <v>164</v>
      </c>
      <c r="C83" s="59" t="s">
        <v>345</v>
      </c>
      <c r="D83" s="13">
        <v>43282</v>
      </c>
      <c r="E83" s="13">
        <v>43313</v>
      </c>
      <c r="F83" s="13">
        <v>43344</v>
      </c>
      <c r="G83" s="13">
        <v>43374</v>
      </c>
      <c r="H83" s="13">
        <v>43405</v>
      </c>
      <c r="I83" s="13">
        <v>43435</v>
      </c>
      <c r="J83" s="1" t="s">
        <v>81</v>
      </c>
    </row>
    <row r="84" spans="1:10" x14ac:dyDescent="0.25">
      <c r="A84" s="38">
        <v>1</v>
      </c>
      <c r="B84" s="1" t="s">
        <v>199</v>
      </c>
      <c r="C84" s="14">
        <v>225000</v>
      </c>
      <c r="D84" s="1">
        <v>0</v>
      </c>
      <c r="E84" s="1">
        <v>0</v>
      </c>
      <c r="F84" s="1"/>
      <c r="G84" s="70"/>
      <c r="H84" s="1">
        <v>50000</v>
      </c>
      <c r="I84" s="1"/>
      <c r="J84" s="70">
        <f>SUM(C84:I84)</f>
        <v>275000</v>
      </c>
    </row>
    <row r="85" spans="1:10" x14ac:dyDescent="0.25">
      <c r="A85" s="38"/>
      <c r="B85" s="1" t="s">
        <v>202</v>
      </c>
      <c r="C85" s="14">
        <v>90000</v>
      </c>
      <c r="D85" s="1"/>
      <c r="E85" s="1"/>
      <c r="F85" s="1"/>
      <c r="G85" s="70"/>
      <c r="H85" s="1">
        <v>15000</v>
      </c>
      <c r="I85" s="1"/>
      <c r="J85" s="70">
        <f t="shared" ref="J85:J90" si="5">SUM(C85:I85)</f>
        <v>105000</v>
      </c>
    </row>
    <row r="86" spans="1:10" x14ac:dyDescent="0.25">
      <c r="A86" s="38">
        <v>2</v>
      </c>
      <c r="B86" s="1" t="s">
        <v>223</v>
      </c>
      <c r="C86" s="14">
        <v>1553900</v>
      </c>
      <c r="D86" s="1">
        <v>0</v>
      </c>
      <c r="E86" s="1">
        <v>0</v>
      </c>
      <c r="F86" s="1">
        <v>321000</v>
      </c>
      <c r="G86" s="70"/>
      <c r="H86" s="1"/>
      <c r="I86" s="1"/>
      <c r="J86" s="70">
        <f t="shared" si="5"/>
        <v>1874900</v>
      </c>
    </row>
    <row r="87" spans="1:10" x14ac:dyDescent="0.25">
      <c r="A87" s="38">
        <v>3</v>
      </c>
      <c r="B87" s="1" t="s">
        <v>222</v>
      </c>
      <c r="C87" s="14">
        <v>565000</v>
      </c>
      <c r="D87" s="1">
        <v>0</v>
      </c>
      <c r="E87" s="1">
        <v>0</v>
      </c>
      <c r="F87" s="1">
        <v>0</v>
      </c>
      <c r="G87" s="70">
        <v>0</v>
      </c>
      <c r="H87" s="1">
        <v>0</v>
      </c>
      <c r="I87" s="1">
        <v>0</v>
      </c>
      <c r="J87" s="70">
        <f t="shared" si="5"/>
        <v>565000</v>
      </c>
    </row>
    <row r="88" spans="1:10" x14ac:dyDescent="0.25">
      <c r="A88" s="38">
        <v>4</v>
      </c>
      <c r="B88" s="1" t="s">
        <v>231</v>
      </c>
      <c r="C88" s="14">
        <v>536000</v>
      </c>
      <c r="D88" s="1"/>
      <c r="E88" s="1"/>
      <c r="F88" s="1"/>
      <c r="G88" s="70"/>
      <c r="H88" s="1"/>
      <c r="I88" s="1"/>
      <c r="J88" s="70">
        <f t="shared" si="5"/>
        <v>536000</v>
      </c>
    </row>
    <row r="89" spans="1:10" x14ac:dyDescent="0.25">
      <c r="A89" s="38">
        <v>5</v>
      </c>
      <c r="B89" s="38" t="s">
        <v>241</v>
      </c>
      <c r="C89" s="27">
        <v>700000</v>
      </c>
      <c r="D89" s="1"/>
      <c r="E89" s="1"/>
      <c r="F89" s="1"/>
      <c r="G89" s="72"/>
      <c r="H89" s="1"/>
      <c r="I89" s="1"/>
      <c r="J89" s="70">
        <f t="shared" si="5"/>
        <v>700000</v>
      </c>
    </row>
    <row r="90" spans="1:10" x14ac:dyDescent="0.25">
      <c r="A90" s="38">
        <v>6</v>
      </c>
      <c r="B90" s="38" t="s">
        <v>309</v>
      </c>
      <c r="C90" s="27">
        <v>20000</v>
      </c>
      <c r="D90" s="1"/>
      <c r="E90" s="1"/>
      <c r="F90" s="1"/>
      <c r="G90" s="72"/>
      <c r="H90" s="1"/>
      <c r="I90" s="1"/>
      <c r="J90" s="70">
        <f t="shared" si="5"/>
        <v>20000</v>
      </c>
    </row>
    <row r="91" spans="1:10" x14ac:dyDescent="0.25">
      <c r="A91" s="1"/>
      <c r="B91" s="71" t="s">
        <v>138</v>
      </c>
      <c r="C91" s="15">
        <f>SUM(C84:C90)</f>
        <v>3689900</v>
      </c>
      <c r="D91" s="15">
        <f>SUM(D84:D89)</f>
        <v>0</v>
      </c>
      <c r="E91" s="15">
        <f>SUM(E84:E90)</f>
        <v>0</v>
      </c>
      <c r="F91" s="15">
        <f>SUM(F84:F89)</f>
        <v>321000</v>
      </c>
      <c r="G91" s="15">
        <f>SUM(G84:G89)</f>
        <v>0</v>
      </c>
      <c r="H91" s="1"/>
      <c r="I91" s="15">
        <f>SUM(I84:I90)</f>
        <v>0</v>
      </c>
      <c r="J91" s="15">
        <f>SUM(J84:J90)</f>
        <v>4075900</v>
      </c>
    </row>
    <row r="92" spans="1:10" x14ac:dyDescent="0.25">
      <c r="A92" s="22"/>
      <c r="B92" s="85"/>
      <c r="C92" s="86"/>
      <c r="D92" s="86"/>
      <c r="E92" s="86"/>
      <c r="F92" s="86"/>
      <c r="G92" s="86"/>
      <c r="H92" s="22"/>
      <c r="I92" s="22"/>
      <c r="J92" s="86"/>
    </row>
    <row r="93" spans="1:10" x14ac:dyDescent="0.25">
      <c r="A93" s="22"/>
      <c r="B93" s="85"/>
      <c r="C93" s="86"/>
      <c r="D93" s="86"/>
      <c r="E93" s="86"/>
      <c r="F93" s="86"/>
      <c r="G93" s="86"/>
      <c r="H93" s="22"/>
      <c r="I93" s="22"/>
      <c r="J93" s="86"/>
    </row>
    <row r="94" spans="1:10" ht="18.75" x14ac:dyDescent="0.3">
      <c r="B94" s="5" t="s">
        <v>80</v>
      </c>
    </row>
    <row r="95" spans="1:10" ht="18.75" x14ac:dyDescent="0.3">
      <c r="B95" s="5" t="s">
        <v>64</v>
      </c>
    </row>
    <row r="96" spans="1:10" ht="18.75" x14ac:dyDescent="0.3">
      <c r="B96" s="5" t="s">
        <v>272</v>
      </c>
    </row>
    <row r="97" spans="1:10" ht="18.75" x14ac:dyDescent="0.3">
      <c r="B97" s="5" t="s">
        <v>358</v>
      </c>
    </row>
    <row r="98" spans="1:10" ht="18.75" x14ac:dyDescent="0.3">
      <c r="B98" s="5"/>
    </row>
    <row r="99" spans="1:10" x14ac:dyDescent="0.25">
      <c r="A99" s="3" t="s">
        <v>163</v>
      </c>
      <c r="B99" s="3" t="s">
        <v>164</v>
      </c>
      <c r="C99" s="59" t="s">
        <v>345</v>
      </c>
      <c r="D99" s="13">
        <v>43282</v>
      </c>
      <c r="E99" s="13">
        <v>43313</v>
      </c>
      <c r="F99" s="13">
        <v>43344</v>
      </c>
      <c r="G99" s="13">
        <v>43374</v>
      </c>
      <c r="H99" s="13">
        <v>43405</v>
      </c>
      <c r="I99" s="13">
        <v>43435</v>
      </c>
      <c r="J99" s="3" t="s">
        <v>166</v>
      </c>
    </row>
    <row r="100" spans="1:10" x14ac:dyDescent="0.25">
      <c r="A100" s="38">
        <v>1</v>
      </c>
      <c r="B100" s="1" t="s">
        <v>199</v>
      </c>
      <c r="C100" s="14"/>
      <c r="D100" s="1">
        <v>0</v>
      </c>
      <c r="E100" s="1">
        <v>0</v>
      </c>
      <c r="F100" s="1"/>
      <c r="G100" s="70"/>
      <c r="H100" s="1"/>
      <c r="I100" s="1"/>
      <c r="J100" s="70">
        <f>SUM(C100:I100)</f>
        <v>0</v>
      </c>
    </row>
    <row r="101" spans="1:10" x14ac:dyDescent="0.25">
      <c r="A101" s="38"/>
      <c r="B101" s="1" t="s">
        <v>202</v>
      </c>
      <c r="C101" s="14">
        <v>0</v>
      </c>
      <c r="D101" s="1">
        <v>0</v>
      </c>
      <c r="E101" s="1">
        <v>0</v>
      </c>
      <c r="F101" s="1"/>
      <c r="G101" s="70"/>
      <c r="H101" s="1"/>
      <c r="I101" s="1"/>
      <c r="J101" s="70">
        <f t="shared" ref="J101:J106" si="6">SUM(C101:I101)</f>
        <v>0</v>
      </c>
    </row>
    <row r="102" spans="1:10" x14ac:dyDescent="0.25">
      <c r="A102" s="38">
        <v>2</v>
      </c>
      <c r="B102" s="1" t="s">
        <v>223</v>
      </c>
      <c r="C102" s="14">
        <v>851900</v>
      </c>
      <c r="D102" s="1">
        <v>0</v>
      </c>
      <c r="E102" s="1">
        <v>0</v>
      </c>
      <c r="F102" s="1">
        <v>702000</v>
      </c>
      <c r="G102" s="70"/>
      <c r="H102" s="1"/>
      <c r="I102" s="1"/>
      <c r="J102" s="70">
        <f t="shared" si="6"/>
        <v>1553900</v>
      </c>
    </row>
    <row r="103" spans="1:10" x14ac:dyDescent="0.25">
      <c r="A103" s="38">
        <v>3</v>
      </c>
      <c r="B103" s="1" t="s">
        <v>222</v>
      </c>
      <c r="C103" s="14">
        <v>425000</v>
      </c>
      <c r="D103" s="1">
        <v>0</v>
      </c>
      <c r="E103" s="1">
        <v>30000</v>
      </c>
      <c r="F103" s="1">
        <v>0</v>
      </c>
      <c r="G103" s="70">
        <v>31000</v>
      </c>
      <c r="H103" s="1"/>
      <c r="I103" s="1"/>
      <c r="J103" s="70">
        <f t="shared" si="6"/>
        <v>486000</v>
      </c>
    </row>
    <row r="104" spans="1:10" x14ac:dyDescent="0.25">
      <c r="A104" s="38">
        <v>4</v>
      </c>
      <c r="B104" s="1" t="s">
        <v>231</v>
      </c>
      <c r="C104" s="14">
        <v>500000</v>
      </c>
      <c r="D104" s="1"/>
      <c r="E104" s="1"/>
      <c r="F104" s="1"/>
      <c r="G104" s="70"/>
      <c r="H104" s="1"/>
      <c r="I104" s="1"/>
      <c r="J104" s="70">
        <f t="shared" si="6"/>
        <v>500000</v>
      </c>
    </row>
    <row r="105" spans="1:10" x14ac:dyDescent="0.25">
      <c r="A105" s="38">
        <v>5</v>
      </c>
      <c r="B105" s="38" t="s">
        <v>241</v>
      </c>
      <c r="C105" s="27">
        <v>483500</v>
      </c>
      <c r="D105" s="70"/>
      <c r="E105" s="1">
        <v>0</v>
      </c>
      <c r="F105" s="1"/>
      <c r="G105" s="72"/>
      <c r="H105" s="1"/>
      <c r="I105" s="1"/>
      <c r="J105" s="70">
        <f t="shared" si="6"/>
        <v>483500</v>
      </c>
    </row>
    <row r="106" spans="1:10" x14ac:dyDescent="0.25">
      <c r="A106" s="38">
        <v>6</v>
      </c>
      <c r="B106" s="38" t="s">
        <v>309</v>
      </c>
      <c r="C106" s="27">
        <v>20000</v>
      </c>
      <c r="D106" s="70"/>
      <c r="E106" s="1"/>
      <c r="F106" s="1"/>
      <c r="G106" s="72"/>
      <c r="H106" s="1"/>
      <c r="I106" s="1"/>
      <c r="J106" s="70">
        <f t="shared" si="6"/>
        <v>20000</v>
      </c>
    </row>
    <row r="107" spans="1:10" x14ac:dyDescent="0.25">
      <c r="A107" s="1"/>
      <c r="B107" s="71" t="s">
        <v>138</v>
      </c>
      <c r="C107" s="70">
        <f>SUM(C100:C106)</f>
        <v>2280400</v>
      </c>
      <c r="D107" s="15">
        <f>SUM(D100:D106)</f>
        <v>0</v>
      </c>
      <c r="E107" s="15">
        <f>SUM(E100:E105)</f>
        <v>30000</v>
      </c>
      <c r="F107" s="15">
        <f>SUM(F100:F105)</f>
        <v>702000</v>
      </c>
      <c r="G107" s="15">
        <f>SUM(G100:G105)</f>
        <v>31000</v>
      </c>
      <c r="H107" s="15">
        <f>SUM(H100:H105)</f>
        <v>0</v>
      </c>
      <c r="I107" s="15">
        <f>SUM(I100:I105)</f>
        <v>0</v>
      </c>
      <c r="J107" s="70">
        <f>SUM(J100:J106)</f>
        <v>3043400</v>
      </c>
    </row>
    <row r="121" spans="1:10" ht="18.75" x14ac:dyDescent="0.3">
      <c r="B121" s="5" t="s">
        <v>80</v>
      </c>
    </row>
    <row r="122" spans="1:10" ht="18.75" x14ac:dyDescent="0.3">
      <c r="B122" s="5" t="s">
        <v>64</v>
      </c>
    </row>
    <row r="123" spans="1:10" ht="18.75" x14ac:dyDescent="0.3">
      <c r="B123" s="5" t="s">
        <v>279</v>
      </c>
    </row>
    <row r="124" spans="1:10" ht="18.75" x14ac:dyDescent="0.3">
      <c r="B124" s="5" t="s">
        <v>358</v>
      </c>
    </row>
    <row r="126" spans="1:10" x14ac:dyDescent="0.25">
      <c r="A126" s="3" t="s">
        <v>163</v>
      </c>
      <c r="B126" s="3" t="s">
        <v>164</v>
      </c>
      <c r="C126" s="59" t="s">
        <v>281</v>
      </c>
      <c r="D126" s="13" t="s">
        <v>280</v>
      </c>
      <c r="E126" s="13" t="s">
        <v>280</v>
      </c>
      <c r="F126" s="13" t="s">
        <v>280</v>
      </c>
      <c r="G126" s="13" t="s">
        <v>280</v>
      </c>
      <c r="H126" s="13" t="s">
        <v>280</v>
      </c>
      <c r="I126" s="13" t="s">
        <v>280</v>
      </c>
      <c r="J126" s="3" t="s">
        <v>166</v>
      </c>
    </row>
    <row r="127" spans="1:10" x14ac:dyDescent="0.25">
      <c r="A127" s="38">
        <v>1</v>
      </c>
      <c r="B127" s="1" t="s">
        <v>199</v>
      </c>
      <c r="C127" s="14">
        <v>275000</v>
      </c>
      <c r="D127" s="1">
        <v>0</v>
      </c>
      <c r="E127" s="1"/>
      <c r="F127" s="1"/>
      <c r="G127" s="70"/>
      <c r="H127" s="1"/>
      <c r="I127" s="1"/>
      <c r="J127" s="70">
        <f>C127-D127-E127-F127-G127-H127-I127</f>
        <v>275000</v>
      </c>
    </row>
    <row r="128" spans="1:10" x14ac:dyDescent="0.25">
      <c r="A128" s="38"/>
      <c r="B128" s="1" t="s">
        <v>202</v>
      </c>
      <c r="C128" s="14">
        <v>105000</v>
      </c>
      <c r="D128" s="1">
        <v>0</v>
      </c>
      <c r="E128" s="1"/>
      <c r="F128" s="1"/>
      <c r="G128" s="70"/>
      <c r="H128" s="1"/>
      <c r="I128" s="1"/>
      <c r="J128" s="70">
        <f t="shared" ref="J128:J133" si="7">C128-D128-E128-F128-G128-H128-I128</f>
        <v>105000</v>
      </c>
    </row>
    <row r="129" spans="1:10" x14ac:dyDescent="0.25">
      <c r="A129" s="38">
        <v>2</v>
      </c>
      <c r="B129" s="1" t="s">
        <v>223</v>
      </c>
      <c r="C129" s="14">
        <v>1874900</v>
      </c>
      <c r="D129" s="1">
        <v>1553900</v>
      </c>
      <c r="E129" s="1">
        <v>0</v>
      </c>
      <c r="F129" s="1"/>
      <c r="G129" s="70"/>
      <c r="H129" s="1"/>
      <c r="I129" s="1"/>
      <c r="J129" s="70">
        <f t="shared" si="7"/>
        <v>321000</v>
      </c>
    </row>
    <row r="130" spans="1:10" x14ac:dyDescent="0.25">
      <c r="A130" s="38">
        <v>3</v>
      </c>
      <c r="B130" s="1" t="s">
        <v>222</v>
      </c>
      <c r="C130" s="14">
        <v>565000</v>
      </c>
      <c r="D130" s="1">
        <v>486000</v>
      </c>
      <c r="E130" s="1"/>
      <c r="F130" s="1"/>
      <c r="G130" s="70"/>
      <c r="H130" s="1"/>
      <c r="I130" s="1"/>
      <c r="J130" s="70">
        <f t="shared" si="7"/>
        <v>79000</v>
      </c>
    </row>
    <row r="131" spans="1:10" x14ac:dyDescent="0.25">
      <c r="A131" s="38">
        <v>4</v>
      </c>
      <c r="B131" s="1" t="s">
        <v>231</v>
      </c>
      <c r="C131" s="14">
        <v>536000</v>
      </c>
      <c r="D131" s="1">
        <v>500000</v>
      </c>
      <c r="E131" s="1"/>
      <c r="F131" s="1"/>
      <c r="G131" s="70"/>
      <c r="H131" s="1"/>
      <c r="I131" s="1"/>
      <c r="J131" s="70">
        <f t="shared" si="7"/>
        <v>36000</v>
      </c>
    </row>
    <row r="132" spans="1:10" x14ac:dyDescent="0.25">
      <c r="A132" s="38">
        <v>5</v>
      </c>
      <c r="B132" s="38" t="s">
        <v>241</v>
      </c>
      <c r="C132" s="27">
        <v>700000</v>
      </c>
      <c r="D132" s="1">
        <v>483500</v>
      </c>
      <c r="E132" s="1"/>
      <c r="F132" s="1"/>
      <c r="G132" s="72"/>
      <c r="H132" s="1"/>
      <c r="I132" s="1"/>
      <c r="J132" s="70">
        <f t="shared" si="7"/>
        <v>216500</v>
      </c>
    </row>
    <row r="133" spans="1:10" x14ac:dyDescent="0.25">
      <c r="A133" s="38">
        <v>6</v>
      </c>
      <c r="B133" s="38" t="s">
        <v>309</v>
      </c>
      <c r="C133" s="27">
        <v>20000</v>
      </c>
      <c r="D133" s="1">
        <v>20000</v>
      </c>
      <c r="E133" s="1"/>
      <c r="F133" s="1"/>
      <c r="G133" s="72"/>
      <c r="H133" s="1"/>
      <c r="I133" s="1">
        <v>0</v>
      </c>
      <c r="J133" s="70">
        <f t="shared" si="7"/>
        <v>0</v>
      </c>
    </row>
    <row r="134" spans="1:10" x14ac:dyDescent="0.25">
      <c r="A134" s="1"/>
      <c r="B134" s="71" t="s">
        <v>138</v>
      </c>
      <c r="C134" s="15">
        <f>SUM(C127:C133)</f>
        <v>4075900</v>
      </c>
      <c r="D134" s="15">
        <f>SUM(D127:D133)</f>
        <v>3043400</v>
      </c>
      <c r="E134" s="15">
        <f>SUM(E127:E132)</f>
        <v>0</v>
      </c>
      <c r="F134" s="15">
        <f>SUM(F127:F132)</f>
        <v>0</v>
      </c>
      <c r="G134" s="15">
        <f>SUM(G127:G132)</f>
        <v>0</v>
      </c>
      <c r="H134" s="1">
        <f>SUM(H127:H133)</f>
        <v>0</v>
      </c>
      <c r="I134" s="1">
        <f>SUM(I127:I133)</f>
        <v>0</v>
      </c>
      <c r="J134" s="15">
        <f>SUM(J127:J133)</f>
        <v>1032500</v>
      </c>
    </row>
    <row r="151" spans="1:10" x14ac:dyDescent="0.25">
      <c r="A151" s="95"/>
      <c r="B151" s="12" t="s">
        <v>80</v>
      </c>
    </row>
    <row r="152" spans="1:10" x14ac:dyDescent="0.25">
      <c r="A152" s="95"/>
      <c r="B152" s="12" t="s">
        <v>64</v>
      </c>
    </row>
    <row r="153" spans="1:10" x14ac:dyDescent="0.25">
      <c r="A153" s="95"/>
      <c r="B153" s="12" t="s">
        <v>162</v>
      </c>
    </row>
    <row r="154" spans="1:10" x14ac:dyDescent="0.25">
      <c r="A154" s="95"/>
      <c r="B154" s="12" t="s">
        <v>359</v>
      </c>
    </row>
    <row r="155" spans="1:10" x14ac:dyDescent="0.25">
      <c r="A155" s="95"/>
      <c r="B155" s="12"/>
    </row>
    <row r="156" spans="1:10" x14ac:dyDescent="0.25">
      <c r="A156" s="3" t="s">
        <v>163</v>
      </c>
      <c r="B156" s="3" t="s">
        <v>164</v>
      </c>
      <c r="C156" s="59" t="s">
        <v>346</v>
      </c>
      <c r="D156" s="53">
        <v>43282</v>
      </c>
      <c r="E156" s="53">
        <v>43313</v>
      </c>
      <c r="F156" s="53">
        <v>43344</v>
      </c>
      <c r="G156" s="53">
        <v>43374</v>
      </c>
      <c r="H156" s="53">
        <v>43405</v>
      </c>
      <c r="I156" s="53">
        <v>43435</v>
      </c>
      <c r="J156" s="3" t="s">
        <v>313</v>
      </c>
    </row>
    <row r="157" spans="1:10" x14ac:dyDescent="0.25">
      <c r="A157" s="1">
        <v>1</v>
      </c>
      <c r="B157" s="1" t="s">
        <v>167</v>
      </c>
      <c r="C157" s="27">
        <v>500000</v>
      </c>
      <c r="D157" s="27">
        <v>0</v>
      </c>
      <c r="E157" s="27">
        <v>0</v>
      </c>
      <c r="F157" s="27">
        <v>0</v>
      </c>
      <c r="G157" s="27">
        <v>300000</v>
      </c>
      <c r="H157" s="38">
        <v>0</v>
      </c>
      <c r="I157" s="38">
        <v>0</v>
      </c>
      <c r="J157" s="72">
        <f>SUM(C157:I157)</f>
        <v>800000</v>
      </c>
    </row>
    <row r="158" spans="1:10" x14ac:dyDescent="0.25">
      <c r="A158" s="1">
        <v>2</v>
      </c>
      <c r="B158" s="1" t="s">
        <v>168</v>
      </c>
      <c r="C158" s="27">
        <v>522000</v>
      </c>
      <c r="D158" s="27">
        <v>0</v>
      </c>
      <c r="E158" s="27">
        <v>0</v>
      </c>
      <c r="F158" s="27">
        <v>0</v>
      </c>
      <c r="G158" s="27">
        <v>0</v>
      </c>
      <c r="H158" s="38">
        <v>0</v>
      </c>
      <c r="I158" s="38">
        <v>0</v>
      </c>
      <c r="J158" s="72">
        <f t="shared" ref="J158:J164" si="8">SUM(C158:I158)</f>
        <v>522000</v>
      </c>
    </row>
    <row r="159" spans="1:10" x14ac:dyDescent="0.25">
      <c r="A159" s="1">
        <v>3</v>
      </c>
      <c r="B159" s="1" t="s">
        <v>169</v>
      </c>
      <c r="C159" s="27">
        <v>1004000</v>
      </c>
      <c r="D159" s="27">
        <v>0</v>
      </c>
      <c r="E159" s="27">
        <v>35000</v>
      </c>
      <c r="F159" s="27">
        <v>0</v>
      </c>
      <c r="G159" s="27">
        <v>15000</v>
      </c>
      <c r="H159" s="38">
        <v>21000</v>
      </c>
      <c r="I159" s="38">
        <v>25000</v>
      </c>
      <c r="J159" s="72">
        <f t="shared" si="8"/>
        <v>1100000</v>
      </c>
    </row>
    <row r="160" spans="1:10" x14ac:dyDescent="0.25">
      <c r="A160" s="1">
        <v>4</v>
      </c>
      <c r="B160" s="1" t="s">
        <v>170</v>
      </c>
      <c r="C160" s="27">
        <v>550000</v>
      </c>
      <c r="D160" s="27">
        <v>0</v>
      </c>
      <c r="E160" s="27">
        <v>0</v>
      </c>
      <c r="F160" s="27">
        <v>0</v>
      </c>
      <c r="G160" s="27">
        <v>0</v>
      </c>
      <c r="H160" s="38">
        <v>0</v>
      </c>
      <c r="I160" s="38">
        <v>0</v>
      </c>
      <c r="J160" s="72">
        <f t="shared" si="8"/>
        <v>550000</v>
      </c>
    </row>
    <row r="161" spans="1:10" x14ac:dyDescent="0.25">
      <c r="A161" s="1">
        <v>5</v>
      </c>
      <c r="B161" s="1" t="s">
        <v>171</v>
      </c>
      <c r="C161" s="27">
        <v>502000</v>
      </c>
      <c r="D161" s="27">
        <v>100000</v>
      </c>
      <c r="E161" s="27">
        <v>75000</v>
      </c>
      <c r="F161" s="27">
        <v>53500</v>
      </c>
      <c r="G161" s="27">
        <v>70000</v>
      </c>
      <c r="H161" s="38">
        <v>110000</v>
      </c>
      <c r="I161" s="38">
        <v>40000</v>
      </c>
      <c r="J161" s="72">
        <f t="shared" si="8"/>
        <v>950500</v>
      </c>
    </row>
    <row r="162" spans="1:10" x14ac:dyDescent="0.25">
      <c r="A162" s="1">
        <v>6</v>
      </c>
      <c r="B162" s="1" t="s">
        <v>174</v>
      </c>
      <c r="C162" s="27">
        <v>1180000</v>
      </c>
      <c r="D162" s="27">
        <v>0</v>
      </c>
      <c r="E162" s="27">
        <v>0</v>
      </c>
      <c r="F162" s="27">
        <v>0</v>
      </c>
      <c r="G162" s="27">
        <v>0</v>
      </c>
      <c r="H162" s="38">
        <v>0</v>
      </c>
      <c r="I162" s="38">
        <v>0</v>
      </c>
      <c r="J162" s="72">
        <f t="shared" si="8"/>
        <v>1180000</v>
      </c>
    </row>
    <row r="163" spans="1:10" x14ac:dyDescent="0.25">
      <c r="A163" s="1">
        <v>7</v>
      </c>
      <c r="B163" s="1" t="s">
        <v>172</v>
      </c>
      <c r="C163" s="27">
        <v>370000</v>
      </c>
      <c r="D163" s="27">
        <v>10000</v>
      </c>
      <c r="E163" s="27">
        <v>0</v>
      </c>
      <c r="F163" s="27">
        <v>810000</v>
      </c>
      <c r="G163" s="27">
        <v>10000</v>
      </c>
      <c r="H163" s="38">
        <v>0</v>
      </c>
      <c r="I163" s="38">
        <v>0</v>
      </c>
      <c r="J163" s="72">
        <f t="shared" si="8"/>
        <v>1200000</v>
      </c>
    </row>
    <row r="164" spans="1:10" x14ac:dyDescent="0.25">
      <c r="A164" s="1">
        <v>8</v>
      </c>
      <c r="B164" s="1" t="s">
        <v>173</v>
      </c>
      <c r="C164" s="27">
        <v>800000</v>
      </c>
      <c r="D164" s="27">
        <v>10000</v>
      </c>
      <c r="E164" s="27">
        <v>0</v>
      </c>
      <c r="F164" s="27">
        <v>0</v>
      </c>
      <c r="G164" s="27">
        <v>50000</v>
      </c>
      <c r="H164" s="38">
        <v>0</v>
      </c>
      <c r="I164" s="38">
        <v>0</v>
      </c>
      <c r="J164" s="72">
        <f t="shared" si="8"/>
        <v>860000</v>
      </c>
    </row>
    <row r="165" spans="1:10" x14ac:dyDescent="0.25">
      <c r="A165" s="114">
        <v>9</v>
      </c>
      <c r="B165" s="115" t="s">
        <v>176</v>
      </c>
      <c r="C165" s="116">
        <v>525000</v>
      </c>
      <c r="D165" s="116">
        <v>50000</v>
      </c>
      <c r="E165" s="116"/>
      <c r="F165" s="116">
        <v>0</v>
      </c>
      <c r="G165" s="116">
        <v>0</v>
      </c>
      <c r="H165" s="115">
        <v>0</v>
      </c>
      <c r="I165" s="115">
        <v>0</v>
      </c>
      <c r="J165" s="117">
        <f t="shared" ref="J165:J201" si="9">SUM(C165:I165)</f>
        <v>575000</v>
      </c>
    </row>
    <row r="166" spans="1:10" x14ac:dyDescent="0.25">
      <c r="A166" s="1">
        <v>10</v>
      </c>
      <c r="B166" s="1" t="s">
        <v>177</v>
      </c>
      <c r="C166" s="27">
        <v>530000</v>
      </c>
      <c r="D166" s="27">
        <v>0</v>
      </c>
      <c r="E166" s="27">
        <v>0</v>
      </c>
      <c r="F166" s="27">
        <v>0</v>
      </c>
      <c r="G166" s="27">
        <v>0</v>
      </c>
      <c r="H166" s="38">
        <v>0</v>
      </c>
      <c r="I166" s="38">
        <v>0</v>
      </c>
      <c r="J166" s="72">
        <f t="shared" si="9"/>
        <v>530000</v>
      </c>
    </row>
    <row r="167" spans="1:10" x14ac:dyDescent="0.25">
      <c r="A167" s="1">
        <v>11</v>
      </c>
      <c r="B167" s="1" t="s">
        <v>178</v>
      </c>
      <c r="C167" s="27">
        <v>1000000</v>
      </c>
      <c r="D167" s="27">
        <v>240000</v>
      </c>
      <c r="E167" s="27"/>
      <c r="F167" s="27"/>
      <c r="G167" s="27">
        <v>0</v>
      </c>
      <c r="H167" s="38">
        <v>0</v>
      </c>
      <c r="I167" s="38">
        <v>0</v>
      </c>
      <c r="J167" s="72">
        <f t="shared" si="9"/>
        <v>1240000</v>
      </c>
    </row>
    <row r="168" spans="1:10" x14ac:dyDescent="0.25">
      <c r="A168" s="1">
        <v>12</v>
      </c>
      <c r="B168" s="1" t="s">
        <v>179</v>
      </c>
      <c r="C168" s="27">
        <v>570000</v>
      </c>
      <c r="D168" s="27">
        <v>0</v>
      </c>
      <c r="E168" s="27">
        <v>0</v>
      </c>
      <c r="F168" s="27">
        <v>0</v>
      </c>
      <c r="G168" s="27">
        <v>0</v>
      </c>
      <c r="H168" s="38">
        <v>0</v>
      </c>
      <c r="I168" s="38">
        <v>0</v>
      </c>
      <c r="J168" s="72">
        <f t="shared" si="9"/>
        <v>570000</v>
      </c>
    </row>
    <row r="169" spans="1:10" x14ac:dyDescent="0.25">
      <c r="A169" s="1">
        <v>13</v>
      </c>
      <c r="B169" s="1" t="s">
        <v>180</v>
      </c>
      <c r="C169" s="27">
        <v>1160000</v>
      </c>
      <c r="D169" s="27">
        <v>0</v>
      </c>
      <c r="E169" s="27">
        <v>0</v>
      </c>
      <c r="F169" s="27">
        <v>60000</v>
      </c>
      <c r="G169" s="27">
        <v>0</v>
      </c>
      <c r="H169" s="38">
        <v>0</v>
      </c>
      <c r="I169" s="38">
        <v>0</v>
      </c>
      <c r="J169" s="72">
        <f t="shared" si="9"/>
        <v>1220000</v>
      </c>
    </row>
    <row r="170" spans="1:10" x14ac:dyDescent="0.25">
      <c r="A170" s="1">
        <v>14</v>
      </c>
      <c r="B170" s="1" t="s">
        <v>181</v>
      </c>
      <c r="C170" s="27">
        <v>1470000</v>
      </c>
      <c r="D170" s="27">
        <v>40000</v>
      </c>
      <c r="E170" s="27">
        <v>0</v>
      </c>
      <c r="F170" s="27">
        <v>40000</v>
      </c>
      <c r="G170" s="27">
        <v>20000</v>
      </c>
      <c r="H170" s="38">
        <v>20000</v>
      </c>
      <c r="I170" s="38">
        <v>120000</v>
      </c>
      <c r="J170" s="72">
        <f t="shared" si="9"/>
        <v>1710000</v>
      </c>
    </row>
    <row r="171" spans="1:10" x14ac:dyDescent="0.25">
      <c r="A171" s="1">
        <v>15</v>
      </c>
      <c r="B171" s="1" t="s">
        <v>182</v>
      </c>
      <c r="C171" s="27">
        <v>390000</v>
      </c>
      <c r="D171" s="27">
        <v>0</v>
      </c>
      <c r="E171" s="27">
        <v>15000</v>
      </c>
      <c r="F171" s="27">
        <v>0</v>
      </c>
      <c r="G171" s="27">
        <v>10000</v>
      </c>
      <c r="H171" s="38">
        <v>0</v>
      </c>
      <c r="I171" s="38">
        <v>0</v>
      </c>
      <c r="J171" s="72">
        <f t="shared" si="9"/>
        <v>415000</v>
      </c>
    </row>
    <row r="172" spans="1:10" x14ac:dyDescent="0.25">
      <c r="A172" s="1">
        <v>16</v>
      </c>
      <c r="B172" s="1" t="s">
        <v>183</v>
      </c>
      <c r="C172" s="27">
        <v>565000</v>
      </c>
      <c r="D172" s="27">
        <v>0</v>
      </c>
      <c r="E172" s="27">
        <v>0</v>
      </c>
      <c r="F172" s="27">
        <v>0</v>
      </c>
      <c r="G172" s="27">
        <v>0</v>
      </c>
      <c r="H172" s="38">
        <v>0</v>
      </c>
      <c r="I172" s="38">
        <v>0</v>
      </c>
      <c r="J172" s="72">
        <f t="shared" si="9"/>
        <v>565000</v>
      </c>
    </row>
    <row r="173" spans="1:10" x14ac:dyDescent="0.25">
      <c r="A173" s="1">
        <v>17</v>
      </c>
      <c r="B173" s="1" t="s">
        <v>184</v>
      </c>
      <c r="C173" s="27">
        <v>966400</v>
      </c>
      <c r="D173" s="27">
        <v>0</v>
      </c>
      <c r="E173" s="27">
        <v>0</v>
      </c>
      <c r="F173" s="27">
        <v>0</v>
      </c>
      <c r="G173" s="27">
        <v>0</v>
      </c>
      <c r="H173" s="38">
        <v>0</v>
      </c>
      <c r="I173" s="38">
        <v>0</v>
      </c>
      <c r="J173" s="72">
        <f t="shared" si="9"/>
        <v>966400</v>
      </c>
    </row>
    <row r="174" spans="1:10" x14ac:dyDescent="0.25">
      <c r="A174" s="1">
        <v>18</v>
      </c>
      <c r="B174" s="1" t="s">
        <v>185</v>
      </c>
      <c r="C174" s="27">
        <v>500000</v>
      </c>
      <c r="D174" s="27">
        <v>500000</v>
      </c>
      <c r="E174" s="27">
        <v>0</v>
      </c>
      <c r="F174" s="27">
        <v>0</v>
      </c>
      <c r="G174" s="27">
        <v>0</v>
      </c>
      <c r="H174" s="38">
        <v>200000</v>
      </c>
      <c r="I174" s="38">
        <v>0</v>
      </c>
      <c r="J174" s="72">
        <f t="shared" si="9"/>
        <v>1200000</v>
      </c>
    </row>
    <row r="175" spans="1:10" x14ac:dyDescent="0.25">
      <c r="A175" s="1">
        <v>19</v>
      </c>
      <c r="B175" s="1" t="s">
        <v>186</v>
      </c>
      <c r="C175" s="27">
        <v>500000</v>
      </c>
      <c r="D175" s="27">
        <v>0</v>
      </c>
      <c r="E175" s="27">
        <v>0</v>
      </c>
      <c r="F175" s="27">
        <v>0</v>
      </c>
      <c r="G175" s="27">
        <v>0</v>
      </c>
      <c r="H175" s="38">
        <v>0</v>
      </c>
      <c r="I175" s="38">
        <v>0</v>
      </c>
      <c r="J175" s="72">
        <f t="shared" si="9"/>
        <v>500000</v>
      </c>
    </row>
    <row r="176" spans="1:10" x14ac:dyDescent="0.25">
      <c r="A176" s="1">
        <v>20</v>
      </c>
      <c r="B176" s="1" t="s">
        <v>187</v>
      </c>
      <c r="C176" s="27">
        <v>500000</v>
      </c>
      <c r="D176" s="27">
        <v>0</v>
      </c>
      <c r="E176" s="27">
        <v>0</v>
      </c>
      <c r="F176" s="27">
        <v>0</v>
      </c>
      <c r="G176" s="27">
        <v>0</v>
      </c>
      <c r="H176" s="38">
        <v>0</v>
      </c>
      <c r="I176" s="38">
        <v>0</v>
      </c>
      <c r="J176" s="72">
        <f t="shared" si="9"/>
        <v>500000</v>
      </c>
    </row>
    <row r="177" spans="1:10" x14ac:dyDescent="0.25">
      <c r="A177" s="115">
        <v>21</v>
      </c>
      <c r="B177" s="115" t="s">
        <v>188</v>
      </c>
      <c r="C177" s="116">
        <f>550000+50000-100000</f>
        <v>500000</v>
      </c>
      <c r="D177" s="116">
        <v>0</v>
      </c>
      <c r="E177" s="116">
        <v>0</v>
      </c>
      <c r="F177" s="116">
        <v>0</v>
      </c>
      <c r="G177" s="116">
        <v>0</v>
      </c>
      <c r="H177" s="115">
        <v>0</v>
      </c>
      <c r="I177" s="115">
        <v>0</v>
      </c>
      <c r="J177" s="117">
        <f t="shared" si="9"/>
        <v>500000</v>
      </c>
    </row>
    <row r="178" spans="1:10" x14ac:dyDescent="0.25">
      <c r="A178" s="1">
        <v>22</v>
      </c>
      <c r="B178" s="1" t="s">
        <v>189</v>
      </c>
      <c r="C178" s="27">
        <v>415000</v>
      </c>
      <c r="D178" s="27">
        <v>0</v>
      </c>
      <c r="E178" s="27">
        <v>0</v>
      </c>
      <c r="F178" s="27">
        <v>200000</v>
      </c>
      <c r="G178" s="27">
        <v>600000</v>
      </c>
      <c r="H178" s="38">
        <v>30000</v>
      </c>
      <c r="I178" s="38">
        <v>400000</v>
      </c>
      <c r="J178" s="72">
        <f t="shared" si="9"/>
        <v>1645000</v>
      </c>
    </row>
    <row r="179" spans="1:10" x14ac:dyDescent="0.25">
      <c r="A179" s="1">
        <v>23</v>
      </c>
      <c r="B179" s="1" t="s">
        <v>190</v>
      </c>
      <c r="C179" s="27">
        <v>600000</v>
      </c>
      <c r="D179" s="27">
        <v>0</v>
      </c>
      <c r="E179" s="27">
        <v>0</v>
      </c>
      <c r="F179" s="27">
        <v>0</v>
      </c>
      <c r="G179" s="27">
        <v>0</v>
      </c>
      <c r="H179" s="38">
        <v>0</v>
      </c>
      <c r="I179" s="38">
        <v>0</v>
      </c>
      <c r="J179" s="72">
        <f t="shared" si="9"/>
        <v>600000</v>
      </c>
    </row>
    <row r="180" spans="1:10" x14ac:dyDescent="0.25">
      <c r="A180" s="1">
        <v>24</v>
      </c>
      <c r="B180" s="1" t="s">
        <v>191</v>
      </c>
      <c r="C180" s="27">
        <v>679000</v>
      </c>
      <c r="D180" s="27">
        <v>0</v>
      </c>
      <c r="E180" s="27">
        <v>0</v>
      </c>
      <c r="F180" s="27">
        <v>0</v>
      </c>
      <c r="G180" s="27">
        <v>0</v>
      </c>
      <c r="H180" s="38">
        <v>0</v>
      </c>
      <c r="I180" s="38">
        <v>0</v>
      </c>
      <c r="J180" s="72">
        <f t="shared" si="9"/>
        <v>679000</v>
      </c>
    </row>
    <row r="181" spans="1:10" x14ac:dyDescent="0.25">
      <c r="A181" s="115">
        <v>25</v>
      </c>
      <c r="B181" s="115" t="s">
        <v>192</v>
      </c>
      <c r="C181" s="116">
        <v>470000</v>
      </c>
      <c r="D181" s="116">
        <v>0</v>
      </c>
      <c r="E181" s="116">
        <v>0</v>
      </c>
      <c r="F181" s="116">
        <v>0</v>
      </c>
      <c r="G181" s="116">
        <v>80000</v>
      </c>
      <c r="H181" s="115">
        <v>0</v>
      </c>
      <c r="I181" s="115">
        <v>100000</v>
      </c>
      <c r="J181" s="117">
        <f t="shared" si="9"/>
        <v>650000</v>
      </c>
    </row>
    <row r="182" spans="1:10" x14ac:dyDescent="0.25">
      <c r="A182" s="1">
        <v>26</v>
      </c>
      <c r="B182" s="1" t="s">
        <v>193</v>
      </c>
      <c r="C182" s="27">
        <v>1660000</v>
      </c>
      <c r="D182" s="27">
        <v>800000</v>
      </c>
      <c r="E182" s="27">
        <v>0</v>
      </c>
      <c r="F182" s="27">
        <v>0</v>
      </c>
      <c r="G182" s="27">
        <v>0</v>
      </c>
      <c r="H182" s="38">
        <v>0</v>
      </c>
      <c r="I182" s="38">
        <v>0</v>
      </c>
      <c r="J182" s="72">
        <f t="shared" si="9"/>
        <v>2460000</v>
      </c>
    </row>
    <row r="183" spans="1:10" x14ac:dyDescent="0.25">
      <c r="A183" s="115">
        <v>27</v>
      </c>
      <c r="B183" s="115" t="s">
        <v>195</v>
      </c>
      <c r="C183" s="116">
        <v>1895000</v>
      </c>
      <c r="D183" s="116">
        <v>50000</v>
      </c>
      <c r="E183" s="116">
        <v>0</v>
      </c>
      <c r="F183" s="116">
        <v>50000</v>
      </c>
      <c r="G183" s="116">
        <v>25000</v>
      </c>
      <c r="H183" s="115">
        <v>0</v>
      </c>
      <c r="I183" s="115">
        <v>50000</v>
      </c>
      <c r="J183" s="117">
        <f t="shared" si="9"/>
        <v>2070000</v>
      </c>
    </row>
    <row r="184" spans="1:10" x14ac:dyDescent="0.25">
      <c r="A184" s="1">
        <v>28</v>
      </c>
      <c r="B184" s="1" t="s">
        <v>196</v>
      </c>
      <c r="C184" s="27">
        <v>120000</v>
      </c>
      <c r="D184" s="27">
        <v>0</v>
      </c>
      <c r="E184" s="27">
        <v>0</v>
      </c>
      <c r="F184" s="27">
        <v>0</v>
      </c>
      <c r="G184" s="27">
        <v>0</v>
      </c>
      <c r="H184" s="38">
        <v>0</v>
      </c>
      <c r="I184" s="38">
        <v>0</v>
      </c>
      <c r="J184" s="72">
        <f t="shared" si="9"/>
        <v>120000</v>
      </c>
    </row>
    <row r="185" spans="1:10" x14ac:dyDescent="0.25">
      <c r="A185" s="1">
        <v>29</v>
      </c>
      <c r="B185" s="1" t="s">
        <v>197</v>
      </c>
      <c r="C185" s="27">
        <v>670000</v>
      </c>
      <c r="D185" s="27">
        <v>0</v>
      </c>
      <c r="E185" s="27">
        <v>0</v>
      </c>
      <c r="F185" s="27">
        <v>900000</v>
      </c>
      <c r="G185" s="27">
        <v>0</v>
      </c>
      <c r="H185" s="38">
        <v>0</v>
      </c>
      <c r="I185" s="38">
        <v>0</v>
      </c>
      <c r="J185" s="72">
        <f t="shared" si="9"/>
        <v>1570000</v>
      </c>
    </row>
    <row r="186" spans="1:10" x14ac:dyDescent="0.25">
      <c r="A186" s="115">
        <v>30</v>
      </c>
      <c r="B186" s="115" t="s">
        <v>308</v>
      </c>
      <c r="C186" s="116">
        <f>485000+10000+10000</f>
        <v>505000</v>
      </c>
      <c r="D186" s="116">
        <v>0</v>
      </c>
      <c r="E186" s="116">
        <v>0</v>
      </c>
      <c r="F186" s="116">
        <v>0</v>
      </c>
      <c r="G186" s="116">
        <v>0</v>
      </c>
      <c r="H186" s="115">
        <v>0</v>
      </c>
      <c r="I186" s="115">
        <v>50000</v>
      </c>
      <c r="J186" s="117">
        <f t="shared" si="9"/>
        <v>555000</v>
      </c>
    </row>
    <row r="187" spans="1:10" x14ac:dyDescent="0.25">
      <c r="A187" s="115">
        <v>31</v>
      </c>
      <c r="B187" s="115" t="s">
        <v>201</v>
      </c>
      <c r="C187" s="116">
        <v>700000</v>
      </c>
      <c r="D187" s="116"/>
      <c r="E187" s="116">
        <v>0</v>
      </c>
      <c r="F187" s="116">
        <v>0</v>
      </c>
      <c r="G187" s="116">
        <v>0</v>
      </c>
      <c r="H187" s="115">
        <v>0</v>
      </c>
      <c r="I187" s="115">
        <v>0</v>
      </c>
      <c r="J187" s="117">
        <f t="shared" si="9"/>
        <v>700000</v>
      </c>
    </row>
    <row r="188" spans="1:10" x14ac:dyDescent="0.25">
      <c r="A188" s="90">
        <v>32</v>
      </c>
      <c r="B188" s="1" t="s">
        <v>204</v>
      </c>
      <c r="C188" s="27">
        <v>820058</v>
      </c>
      <c r="D188" s="27">
        <v>200000</v>
      </c>
      <c r="E188" s="27">
        <v>0</v>
      </c>
      <c r="F188" s="27">
        <v>0</v>
      </c>
      <c r="G188" s="27">
        <v>0</v>
      </c>
      <c r="H188" s="38">
        <v>100000</v>
      </c>
      <c r="I188" s="38">
        <v>100000</v>
      </c>
      <c r="J188" s="72">
        <f t="shared" si="9"/>
        <v>1220058</v>
      </c>
    </row>
    <row r="189" spans="1:10" x14ac:dyDescent="0.25">
      <c r="A189" s="38">
        <v>33</v>
      </c>
      <c r="B189" s="1" t="s">
        <v>205</v>
      </c>
      <c r="C189" s="27">
        <v>600000</v>
      </c>
      <c r="D189" s="27"/>
      <c r="E189" s="27"/>
      <c r="F189" s="27"/>
      <c r="G189" s="27"/>
      <c r="H189" s="1">
        <v>0</v>
      </c>
      <c r="I189" s="1">
        <v>0</v>
      </c>
      <c r="J189" s="70">
        <f t="shared" si="9"/>
        <v>600000</v>
      </c>
    </row>
    <row r="190" spans="1:10" x14ac:dyDescent="0.25">
      <c r="A190" s="38">
        <v>34</v>
      </c>
      <c r="B190" s="1" t="s">
        <v>208</v>
      </c>
      <c r="C190" s="14">
        <v>1230000</v>
      </c>
      <c r="D190" s="14">
        <v>0</v>
      </c>
      <c r="E190" s="14">
        <v>30000</v>
      </c>
      <c r="F190" s="14">
        <v>0</v>
      </c>
      <c r="G190" s="14">
        <v>20000</v>
      </c>
      <c r="H190" s="1">
        <v>20000</v>
      </c>
      <c r="I190" s="1"/>
      <c r="J190" s="70">
        <f t="shared" si="9"/>
        <v>1300000</v>
      </c>
    </row>
    <row r="191" spans="1:10" x14ac:dyDescent="0.25">
      <c r="A191" s="115">
        <v>35</v>
      </c>
      <c r="B191" s="115" t="s">
        <v>230</v>
      </c>
      <c r="C191" s="116">
        <f>600000-50000+100000</f>
        <v>650000</v>
      </c>
      <c r="D191" s="116">
        <v>0</v>
      </c>
      <c r="E191" s="116">
        <v>0</v>
      </c>
      <c r="F191" s="116">
        <v>0</v>
      </c>
      <c r="G191" s="116">
        <v>0</v>
      </c>
      <c r="H191" s="115">
        <v>0</v>
      </c>
      <c r="I191" s="115">
        <v>0</v>
      </c>
      <c r="J191" s="117">
        <f t="shared" si="9"/>
        <v>650000</v>
      </c>
    </row>
    <row r="192" spans="1:10" x14ac:dyDescent="0.25">
      <c r="A192" s="115">
        <v>36</v>
      </c>
      <c r="B192" s="115" t="s">
        <v>236</v>
      </c>
      <c r="C192" s="116">
        <v>710000</v>
      </c>
      <c r="D192" s="116">
        <v>290000</v>
      </c>
      <c r="E192" s="116">
        <v>50000</v>
      </c>
      <c r="F192" s="116">
        <v>0</v>
      </c>
      <c r="G192" s="116">
        <v>50000</v>
      </c>
      <c r="H192" s="115">
        <v>0</v>
      </c>
      <c r="I192" s="115">
        <v>50000</v>
      </c>
      <c r="J192" s="117">
        <f t="shared" si="9"/>
        <v>1150000</v>
      </c>
    </row>
    <row r="193" spans="1:10" x14ac:dyDescent="0.25">
      <c r="A193" s="38">
        <v>37</v>
      </c>
      <c r="B193" s="38" t="s">
        <v>285</v>
      </c>
      <c r="C193" s="14">
        <v>500000</v>
      </c>
      <c r="D193" s="14">
        <v>0</v>
      </c>
      <c r="E193" s="14">
        <v>0</v>
      </c>
      <c r="F193" s="14">
        <v>0</v>
      </c>
      <c r="G193" s="14">
        <v>0</v>
      </c>
      <c r="H193" s="1">
        <v>0</v>
      </c>
      <c r="I193" s="1">
        <v>0</v>
      </c>
      <c r="J193" s="70">
        <f t="shared" si="9"/>
        <v>500000</v>
      </c>
    </row>
    <row r="194" spans="1:10" x14ac:dyDescent="0.25">
      <c r="A194" s="115">
        <v>38</v>
      </c>
      <c r="B194" s="115" t="s">
        <v>286</v>
      </c>
      <c r="C194" s="116">
        <v>1000000</v>
      </c>
      <c r="D194" s="116">
        <v>100000</v>
      </c>
      <c r="E194" s="116">
        <v>50000</v>
      </c>
      <c r="F194" s="116">
        <v>0</v>
      </c>
      <c r="G194" s="116">
        <v>50000</v>
      </c>
      <c r="H194" s="115">
        <v>0</v>
      </c>
      <c r="I194" s="115">
        <v>50000</v>
      </c>
      <c r="J194" s="117">
        <f t="shared" si="9"/>
        <v>1250000</v>
      </c>
    </row>
    <row r="195" spans="1:10" x14ac:dyDescent="0.25">
      <c r="A195" s="115">
        <v>39</v>
      </c>
      <c r="B195" s="115" t="s">
        <v>287</v>
      </c>
      <c r="C195" s="116">
        <f>120000-10000-10000</f>
        <v>100000</v>
      </c>
      <c r="D195" s="116">
        <v>0</v>
      </c>
      <c r="E195" s="116">
        <v>0</v>
      </c>
      <c r="F195" s="116">
        <v>0</v>
      </c>
      <c r="G195" s="116">
        <v>0</v>
      </c>
      <c r="H195" s="115">
        <v>0</v>
      </c>
      <c r="I195" s="115">
        <v>0</v>
      </c>
      <c r="J195" s="117">
        <f t="shared" si="9"/>
        <v>100000</v>
      </c>
    </row>
    <row r="196" spans="1:10" x14ac:dyDescent="0.25">
      <c r="A196" s="38">
        <v>40</v>
      </c>
      <c r="B196" s="1" t="s">
        <v>288</v>
      </c>
      <c r="C196" s="14">
        <v>368000</v>
      </c>
      <c r="D196" s="14">
        <v>0</v>
      </c>
      <c r="E196" s="14">
        <v>0</v>
      </c>
      <c r="F196" s="14">
        <v>0</v>
      </c>
      <c r="G196" s="14">
        <v>40000</v>
      </c>
      <c r="H196" s="1"/>
      <c r="I196" s="1">
        <v>20000</v>
      </c>
      <c r="J196" s="70">
        <f t="shared" si="9"/>
        <v>428000</v>
      </c>
    </row>
    <row r="197" spans="1:10" x14ac:dyDescent="0.25">
      <c r="A197" s="38">
        <v>41</v>
      </c>
      <c r="B197" s="92" t="s">
        <v>289</v>
      </c>
      <c r="C197" s="93">
        <v>400000</v>
      </c>
      <c r="D197" s="93"/>
      <c r="E197" s="93">
        <v>0</v>
      </c>
      <c r="F197" s="93">
        <v>0</v>
      </c>
      <c r="G197" s="93">
        <v>0</v>
      </c>
      <c r="H197" s="1">
        <v>0</v>
      </c>
      <c r="I197" s="1">
        <v>0</v>
      </c>
      <c r="J197" s="70">
        <f t="shared" si="9"/>
        <v>400000</v>
      </c>
    </row>
    <row r="198" spans="1:10" x14ac:dyDescent="0.25">
      <c r="A198" s="38">
        <v>42</v>
      </c>
      <c r="B198" s="1" t="s">
        <v>315</v>
      </c>
      <c r="C198" s="14">
        <v>2000000</v>
      </c>
      <c r="D198" s="1">
        <v>0</v>
      </c>
      <c r="E198" s="1">
        <v>300000</v>
      </c>
      <c r="F198" s="1">
        <v>0</v>
      </c>
      <c r="G198" s="14">
        <v>0</v>
      </c>
      <c r="H198" s="1">
        <v>0</v>
      </c>
      <c r="I198" s="1">
        <v>100000</v>
      </c>
      <c r="J198" s="70">
        <f t="shared" si="9"/>
        <v>2400000</v>
      </c>
    </row>
    <row r="199" spans="1:10" x14ac:dyDescent="0.25">
      <c r="A199" s="75">
        <v>43</v>
      </c>
      <c r="B199" s="1" t="s">
        <v>316</v>
      </c>
      <c r="C199" s="14">
        <v>600000</v>
      </c>
      <c r="D199" s="1">
        <v>200000</v>
      </c>
      <c r="E199" s="1">
        <v>0</v>
      </c>
      <c r="F199" s="1">
        <v>200000</v>
      </c>
      <c r="G199" s="14">
        <v>400000</v>
      </c>
      <c r="H199" s="1">
        <v>500000</v>
      </c>
      <c r="I199" s="1">
        <v>400000</v>
      </c>
      <c r="J199" s="70">
        <f t="shared" si="9"/>
        <v>2300000</v>
      </c>
    </row>
    <row r="200" spans="1:10" x14ac:dyDescent="0.25">
      <c r="A200" s="90">
        <v>44</v>
      </c>
      <c r="B200" s="1" t="s">
        <v>338</v>
      </c>
      <c r="C200" s="14">
        <v>2300000</v>
      </c>
      <c r="D200" s="1">
        <v>0</v>
      </c>
      <c r="E200" s="1">
        <v>0</v>
      </c>
      <c r="F200" s="1">
        <v>0</v>
      </c>
      <c r="G200" s="14">
        <v>0</v>
      </c>
      <c r="H200" s="1">
        <v>0</v>
      </c>
      <c r="I200" s="1">
        <v>0</v>
      </c>
      <c r="J200" s="70">
        <f t="shared" si="9"/>
        <v>2300000</v>
      </c>
    </row>
    <row r="201" spans="1:10" x14ac:dyDescent="0.25">
      <c r="A201" s="38"/>
      <c r="B201" s="59" t="s">
        <v>360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30000</v>
      </c>
      <c r="J201" s="14">
        <f t="shared" si="9"/>
        <v>30000</v>
      </c>
    </row>
    <row r="202" spans="1:10" x14ac:dyDescent="0.25">
      <c r="A202" s="38"/>
      <c r="B202" s="1"/>
      <c r="C202" s="1"/>
      <c r="D202" s="1"/>
      <c r="E202" s="1"/>
      <c r="F202" s="1"/>
      <c r="G202" s="1"/>
      <c r="H202" s="1"/>
      <c r="I202" s="1"/>
      <c r="J202" s="1"/>
    </row>
    <row r="203" spans="1:10" x14ac:dyDescent="0.25">
      <c r="A203" s="38"/>
      <c r="B203" s="1"/>
      <c r="C203" s="14"/>
      <c r="D203" s="1"/>
      <c r="E203" s="1"/>
      <c r="F203" s="1"/>
      <c r="G203" s="14"/>
      <c r="H203" s="1"/>
      <c r="I203" s="1"/>
      <c r="J203" s="70"/>
    </row>
    <row r="204" spans="1:10" x14ac:dyDescent="0.25">
      <c r="A204" s="38"/>
      <c r="B204" s="1"/>
      <c r="C204" s="14"/>
      <c r="D204" s="1"/>
      <c r="E204" s="1"/>
      <c r="F204" s="1"/>
      <c r="G204" s="14"/>
      <c r="H204" s="1"/>
      <c r="I204" s="1"/>
      <c r="J204" s="70"/>
    </row>
    <row r="205" spans="1:10" x14ac:dyDescent="0.25">
      <c r="A205" s="38"/>
      <c r="B205" s="1"/>
      <c r="C205" s="1"/>
      <c r="D205" s="1"/>
      <c r="E205" s="1"/>
      <c r="F205" s="1"/>
      <c r="G205" s="1"/>
      <c r="H205" s="1"/>
      <c r="I205" s="1"/>
      <c r="J205" s="1"/>
    </row>
    <row r="206" spans="1:10" x14ac:dyDescent="0.25">
      <c r="A206" s="38"/>
      <c r="B206" s="1"/>
      <c r="C206" s="1"/>
      <c r="D206" s="1"/>
      <c r="E206" s="1"/>
      <c r="F206" s="1"/>
      <c r="G206" s="1"/>
      <c r="H206" s="1"/>
      <c r="I206" s="1"/>
      <c r="J206" s="1"/>
    </row>
    <row r="207" spans="1:10" x14ac:dyDescent="0.25">
      <c r="A207" s="1"/>
      <c r="B207" s="58" t="s">
        <v>138</v>
      </c>
      <c r="C207" s="15">
        <f>SUM(C157:C204)</f>
        <v>33596458</v>
      </c>
      <c r="D207" s="15">
        <f>SUM(D157:D204)</f>
        <v>2590000</v>
      </c>
      <c r="E207" s="15">
        <f>SUM(E157:E204)</f>
        <v>555000</v>
      </c>
      <c r="F207" s="15">
        <f>SUM(F157:F204)</f>
        <v>2313500</v>
      </c>
      <c r="G207" s="15">
        <f>SUM(G157:G204)</f>
        <v>1740000</v>
      </c>
      <c r="H207" s="15">
        <f>SUM(H158:H204)</f>
        <v>1001000</v>
      </c>
      <c r="I207" s="15">
        <f>SUM(I157:I204)</f>
        <v>1535000</v>
      </c>
      <c r="J207" s="15">
        <f>SUM(C207:I207)</f>
        <v>43330958</v>
      </c>
    </row>
    <row r="210" spans="5:10" x14ac:dyDescent="0.25">
      <c r="E210" s="26"/>
    </row>
    <row r="212" spans="5:10" x14ac:dyDescent="0.25">
      <c r="J212" s="26"/>
    </row>
    <row r="226" spans="1:3" ht="18.75" x14ac:dyDescent="0.3">
      <c r="B226" s="5" t="s">
        <v>80</v>
      </c>
    </row>
    <row r="227" spans="1:3" ht="18.75" x14ac:dyDescent="0.3">
      <c r="B227" s="5" t="s">
        <v>64</v>
      </c>
    </row>
    <row r="228" spans="1:3" ht="18.75" x14ac:dyDescent="0.3">
      <c r="B228" s="5" t="s">
        <v>243</v>
      </c>
    </row>
    <row r="229" spans="1:3" ht="18.75" x14ac:dyDescent="0.3">
      <c r="B229" s="5" t="s">
        <v>358</v>
      </c>
    </row>
    <row r="231" spans="1:3" x14ac:dyDescent="0.25">
      <c r="A231" s="3" t="s">
        <v>244</v>
      </c>
      <c r="B231" s="3" t="s">
        <v>245</v>
      </c>
      <c r="C231" s="112" t="s">
        <v>249</v>
      </c>
    </row>
    <row r="232" spans="1:3" x14ac:dyDescent="0.25">
      <c r="A232" s="1"/>
      <c r="B232" s="66" t="s">
        <v>22</v>
      </c>
      <c r="C232" s="97">
        <v>19400000</v>
      </c>
    </row>
    <row r="233" spans="1:3" x14ac:dyDescent="0.25">
      <c r="A233" s="1"/>
      <c r="B233" s="66" t="s">
        <v>246</v>
      </c>
      <c r="C233" s="97">
        <v>43330958</v>
      </c>
    </row>
    <row r="234" spans="1:3" x14ac:dyDescent="0.25">
      <c r="A234" s="1"/>
      <c r="B234" s="66" t="s">
        <v>247</v>
      </c>
      <c r="C234" s="98">
        <v>1032500</v>
      </c>
    </row>
    <row r="235" spans="1:3" x14ac:dyDescent="0.25">
      <c r="A235" s="1"/>
      <c r="B235" s="1" t="s">
        <v>255</v>
      </c>
      <c r="C235" s="88">
        <v>363874</v>
      </c>
    </row>
    <row r="236" spans="1:3" ht="18.75" x14ac:dyDescent="0.3">
      <c r="A236" s="1"/>
      <c r="B236" s="73" t="s">
        <v>248</v>
      </c>
      <c r="C236" s="89">
        <f>SUM(C232:C235)</f>
        <v>64127332</v>
      </c>
    </row>
    <row r="237" spans="1:3" ht="18.75" x14ac:dyDescent="0.3">
      <c r="B237" s="5"/>
      <c r="C237" s="26"/>
    </row>
    <row r="238" spans="1:3" ht="18.75" x14ac:dyDescent="0.3">
      <c r="A238" s="3" t="s">
        <v>250</v>
      </c>
      <c r="B238" s="73" t="s">
        <v>251</v>
      </c>
      <c r="C238" s="112" t="s">
        <v>249</v>
      </c>
    </row>
    <row r="239" spans="1:3" x14ac:dyDescent="0.25">
      <c r="A239" s="1"/>
      <c r="B239" s="66" t="s">
        <v>252</v>
      </c>
      <c r="C239" s="87">
        <v>20000000</v>
      </c>
    </row>
    <row r="240" spans="1:3" x14ac:dyDescent="0.25">
      <c r="A240" s="1"/>
      <c r="B240" s="66" t="s">
        <v>253</v>
      </c>
      <c r="C240" s="88">
        <v>37689875</v>
      </c>
    </row>
    <row r="241" spans="1:9" x14ac:dyDescent="0.25">
      <c r="A241" s="1"/>
      <c r="B241" s="66" t="s">
        <v>254</v>
      </c>
      <c r="C241" s="88">
        <v>488746</v>
      </c>
    </row>
    <row r="242" spans="1:9" x14ac:dyDescent="0.25">
      <c r="A242" s="1"/>
      <c r="B242" s="1" t="s">
        <v>296</v>
      </c>
      <c r="C242" s="88">
        <v>5300000</v>
      </c>
    </row>
    <row r="243" spans="1:9" x14ac:dyDescent="0.25">
      <c r="A243" s="1"/>
      <c r="B243" s="1" t="s">
        <v>290</v>
      </c>
      <c r="C243" s="88">
        <v>8819</v>
      </c>
    </row>
    <row r="244" spans="1:9" x14ac:dyDescent="0.25">
      <c r="A244" s="1"/>
      <c r="B244" s="1" t="s">
        <v>310</v>
      </c>
      <c r="C244" s="88">
        <v>0</v>
      </c>
    </row>
    <row r="245" spans="1:9" x14ac:dyDescent="0.25">
      <c r="A245" s="1"/>
      <c r="B245" s="1" t="s">
        <v>297</v>
      </c>
      <c r="C245" s="88">
        <v>639892</v>
      </c>
      <c r="I245" s="101"/>
    </row>
    <row r="246" spans="1:9" ht="18.75" x14ac:dyDescent="0.3">
      <c r="A246" s="1"/>
      <c r="B246" s="73" t="s">
        <v>248</v>
      </c>
      <c r="C246" s="89">
        <f>SUM(C239:C245)</f>
        <v>64127332</v>
      </c>
    </row>
    <row r="248" spans="1:9" ht="15.75" thickBot="1" x14ac:dyDescent="0.3"/>
    <row r="249" spans="1:9" x14ac:dyDescent="0.25">
      <c r="B249" s="31" t="s">
        <v>343</v>
      </c>
      <c r="C249" s="102"/>
      <c r="D249" s="102"/>
      <c r="E249" s="108">
        <v>20000000</v>
      </c>
    </row>
    <row r="250" spans="1:9" x14ac:dyDescent="0.25">
      <c r="B250" s="103" t="s">
        <v>341</v>
      </c>
      <c r="C250" s="22"/>
      <c r="D250" s="22"/>
      <c r="E250" s="109">
        <v>500000</v>
      </c>
    </row>
    <row r="251" spans="1:9" ht="15.75" thickBot="1" x14ac:dyDescent="0.3">
      <c r="B251" s="106" t="s">
        <v>342</v>
      </c>
      <c r="C251" s="107"/>
      <c r="D251" s="107"/>
      <c r="E251" s="110">
        <v>100000</v>
      </c>
    </row>
    <row r="252" spans="1:9" ht="15.75" thickBot="1" x14ac:dyDescent="0.3">
      <c r="A252" s="22"/>
      <c r="B252" s="104" t="s">
        <v>344</v>
      </c>
      <c r="C252" s="105"/>
      <c r="D252" s="105"/>
      <c r="E252" s="111">
        <v>19400000</v>
      </c>
    </row>
    <row r="264" spans="1:6" ht="18.75" x14ac:dyDescent="0.3">
      <c r="B264" s="5" t="s">
        <v>80</v>
      </c>
    </row>
    <row r="265" spans="1:6" ht="18.75" x14ac:dyDescent="0.3">
      <c r="B265" s="5" t="s">
        <v>64</v>
      </c>
    </row>
    <row r="266" spans="1:6" x14ac:dyDescent="0.25">
      <c r="B266" t="s">
        <v>358</v>
      </c>
    </row>
    <row r="267" spans="1:6" ht="15.75" x14ac:dyDescent="0.25">
      <c r="A267" s="9" t="s">
        <v>156</v>
      </c>
      <c r="B267" s="8" t="s">
        <v>139</v>
      </c>
      <c r="C267" s="9" t="s">
        <v>140</v>
      </c>
      <c r="D267" s="9" t="s">
        <v>152</v>
      </c>
      <c r="E267" s="9" t="s">
        <v>141</v>
      </c>
      <c r="F267" s="9" t="s">
        <v>142</v>
      </c>
    </row>
    <row r="268" spans="1:6" ht="15.75" x14ac:dyDescent="0.25">
      <c r="A268" s="9"/>
      <c r="B268" s="8" t="s">
        <v>318</v>
      </c>
      <c r="C268" s="56">
        <v>77830</v>
      </c>
      <c r="D268" s="56">
        <v>241750</v>
      </c>
      <c r="E268" s="56">
        <v>13460</v>
      </c>
      <c r="F268" s="56">
        <v>46795</v>
      </c>
    </row>
    <row r="269" spans="1:6" ht="15.75" x14ac:dyDescent="0.25">
      <c r="A269" s="9">
        <v>1</v>
      </c>
      <c r="B269" s="9" t="s">
        <v>319</v>
      </c>
      <c r="C269" s="56">
        <v>0</v>
      </c>
      <c r="D269" s="56">
        <v>0</v>
      </c>
      <c r="E269" s="56">
        <v>0</v>
      </c>
      <c r="F269" s="56">
        <v>410</v>
      </c>
    </row>
    <row r="270" spans="1:6" ht="15.75" x14ac:dyDescent="0.25">
      <c r="A270" s="9">
        <v>2</v>
      </c>
      <c r="B270" s="9" t="s">
        <v>320</v>
      </c>
      <c r="C270" s="56">
        <v>0</v>
      </c>
      <c r="D270" s="56">
        <v>0</v>
      </c>
      <c r="E270" s="56">
        <v>0</v>
      </c>
      <c r="F270" s="56">
        <v>10</v>
      </c>
    </row>
    <row r="271" spans="1:6" ht="15.75" x14ac:dyDescent="0.25">
      <c r="A271" s="9">
        <v>3</v>
      </c>
      <c r="B271" s="9" t="s">
        <v>321</v>
      </c>
      <c r="C271" s="56">
        <v>0</v>
      </c>
      <c r="D271" s="56">
        <v>0</v>
      </c>
      <c r="E271" s="56">
        <v>0</v>
      </c>
      <c r="F271" s="56">
        <v>0</v>
      </c>
    </row>
    <row r="272" spans="1:6" ht="15.75" x14ac:dyDescent="0.25">
      <c r="A272" s="9">
        <v>4</v>
      </c>
      <c r="B272" s="9" t="s">
        <v>322</v>
      </c>
      <c r="C272" s="56">
        <v>0</v>
      </c>
      <c r="D272" s="56">
        <v>49652.5</v>
      </c>
      <c r="E272" s="56">
        <v>0</v>
      </c>
      <c r="F272" s="56">
        <v>182.5</v>
      </c>
    </row>
    <row r="273" spans="1:6" ht="15.75" x14ac:dyDescent="0.25">
      <c r="A273" s="9">
        <v>5</v>
      </c>
      <c r="B273" s="9" t="s">
        <v>323</v>
      </c>
      <c r="C273" s="56">
        <v>0</v>
      </c>
      <c r="D273" s="56">
        <v>0</v>
      </c>
      <c r="E273" s="56">
        <v>0</v>
      </c>
      <c r="F273" s="56">
        <v>0</v>
      </c>
    </row>
    <row r="274" spans="1:6" ht="15.75" x14ac:dyDescent="0.25">
      <c r="A274" s="8">
        <v>6</v>
      </c>
      <c r="B274" s="8" t="s">
        <v>324</v>
      </c>
      <c r="C274" s="57">
        <v>16087</v>
      </c>
      <c r="D274" s="57">
        <v>0</v>
      </c>
      <c r="E274" s="57">
        <v>0</v>
      </c>
      <c r="F274" s="57">
        <v>4353.7</v>
      </c>
    </row>
    <row r="275" spans="1:6" ht="15.75" x14ac:dyDescent="0.25">
      <c r="A275" s="9">
        <v>7</v>
      </c>
      <c r="B275" s="9" t="s">
        <v>330</v>
      </c>
      <c r="C275" s="56">
        <v>0</v>
      </c>
      <c r="D275" s="56">
        <v>0</v>
      </c>
      <c r="E275" s="56">
        <v>0</v>
      </c>
      <c r="F275" s="56">
        <v>390</v>
      </c>
    </row>
    <row r="276" spans="1:6" ht="15.75" x14ac:dyDescent="0.25">
      <c r="A276" s="9">
        <v>8</v>
      </c>
      <c r="B276" s="9" t="s">
        <v>325</v>
      </c>
      <c r="C276" s="56">
        <v>0</v>
      </c>
      <c r="D276" s="56">
        <v>0</v>
      </c>
      <c r="E276" s="56">
        <v>0</v>
      </c>
      <c r="F276" s="56">
        <v>172.5</v>
      </c>
    </row>
    <row r="277" spans="1:6" ht="15.75" x14ac:dyDescent="0.25">
      <c r="A277" s="9">
        <v>9</v>
      </c>
      <c r="B277" s="9" t="s">
        <v>326</v>
      </c>
      <c r="C277" s="56">
        <v>0</v>
      </c>
      <c r="D277" s="56">
        <v>0</v>
      </c>
      <c r="E277" s="56">
        <v>0</v>
      </c>
      <c r="F277" s="56">
        <v>255</v>
      </c>
    </row>
    <row r="278" spans="1:6" ht="15.75" x14ac:dyDescent="0.25">
      <c r="A278" s="9">
        <v>10</v>
      </c>
      <c r="B278" s="9" t="s">
        <v>327</v>
      </c>
      <c r="C278" s="56">
        <v>0</v>
      </c>
      <c r="D278" s="56">
        <v>0</v>
      </c>
      <c r="E278" s="56">
        <v>0</v>
      </c>
      <c r="F278" s="56">
        <v>60</v>
      </c>
    </row>
    <row r="279" spans="1:6" ht="15.75" x14ac:dyDescent="0.25">
      <c r="A279" s="9">
        <v>11</v>
      </c>
      <c r="B279" s="9" t="s">
        <v>328</v>
      </c>
      <c r="C279" s="56">
        <v>0</v>
      </c>
      <c r="D279" s="56">
        <v>0</v>
      </c>
      <c r="E279" s="56">
        <v>0</v>
      </c>
      <c r="F279" s="56">
        <v>0</v>
      </c>
    </row>
    <row r="280" spans="1:6" ht="15.75" x14ac:dyDescent="0.25">
      <c r="A280" s="9">
        <v>12</v>
      </c>
      <c r="B280" s="76" t="s">
        <v>329</v>
      </c>
      <c r="C280" s="56">
        <v>23121</v>
      </c>
      <c r="D280" s="56">
        <v>0</v>
      </c>
      <c r="E280" s="56">
        <v>0</v>
      </c>
      <c r="F280" s="56">
        <v>5397</v>
      </c>
    </row>
    <row r="281" spans="1:6" ht="15.75" x14ac:dyDescent="0.25">
      <c r="A281" s="9"/>
      <c r="B281" s="55" t="s">
        <v>138</v>
      </c>
      <c r="C281" s="57">
        <f>SUM(C268:C280)</f>
        <v>117038</v>
      </c>
      <c r="D281" s="57">
        <f>SUM(D268:D280)</f>
        <v>291402.5</v>
      </c>
      <c r="E281" s="57">
        <f>SUM(E268:E280)</f>
        <v>13460</v>
      </c>
      <c r="F281" s="57">
        <f>SUM(F268:F280)</f>
        <v>58025.7</v>
      </c>
    </row>
    <row r="282" spans="1:6" ht="15.75" thickBot="1" x14ac:dyDescent="0.3"/>
    <row r="283" spans="1:6" ht="16.5" thickBot="1" x14ac:dyDescent="0.3">
      <c r="D283" s="12" t="s">
        <v>203</v>
      </c>
      <c r="E283" s="12"/>
      <c r="F283" s="65">
        <f>SUM(C281+D281+E281)-(F281)</f>
        <v>363874.8</v>
      </c>
    </row>
  </sheetData>
  <pageMargins left="0.7" right="0.7" top="0.75" bottom="0.75" header="0.3" footer="0.3"/>
  <pageSetup scale="9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3"/>
  <sheetViews>
    <sheetView topLeftCell="A175" workbookViewId="0">
      <selection activeCell="N14" sqref="N14"/>
    </sheetView>
  </sheetViews>
  <sheetFormatPr defaultRowHeight="15" x14ac:dyDescent="0.25"/>
  <cols>
    <col min="1" max="1" width="4.5703125" customWidth="1"/>
    <col min="2" max="2" width="31.140625" customWidth="1"/>
    <col min="3" max="3" width="14.28515625" customWidth="1"/>
    <col min="4" max="4" width="10.28515625" customWidth="1"/>
    <col min="5" max="6" width="12" customWidth="1"/>
    <col min="7" max="7" width="11.28515625" customWidth="1"/>
    <col min="8" max="8" width="9.5703125" customWidth="1"/>
    <col min="9" max="9" width="9.7109375" customWidth="1"/>
    <col min="10" max="10" width="13.7109375" customWidth="1"/>
  </cols>
  <sheetData>
    <row r="1" spans="1:10" ht="13.5" customHeight="1" x14ac:dyDescent="0.25">
      <c r="A1" s="94"/>
      <c r="B1" s="54" t="s">
        <v>80</v>
      </c>
      <c r="C1" s="54"/>
      <c r="D1" s="54"/>
      <c r="E1" s="94"/>
      <c r="F1" s="94"/>
      <c r="G1" s="94"/>
      <c r="H1" s="94"/>
      <c r="I1" s="94"/>
      <c r="J1" s="94"/>
    </row>
    <row r="2" spans="1:10" ht="12.75" customHeight="1" x14ac:dyDescent="0.25">
      <c r="A2" s="94"/>
      <c r="B2" s="54" t="s">
        <v>64</v>
      </c>
      <c r="C2" s="54"/>
      <c r="D2" s="54"/>
      <c r="E2" s="94"/>
      <c r="F2" s="94"/>
      <c r="G2" s="94"/>
      <c r="H2" s="94"/>
      <c r="I2" s="94"/>
      <c r="J2" s="94"/>
    </row>
    <row r="3" spans="1:10" ht="12" customHeight="1" x14ac:dyDescent="0.25">
      <c r="A3" s="94"/>
      <c r="B3" s="54" t="s">
        <v>311</v>
      </c>
      <c r="C3" s="54"/>
      <c r="D3" s="54"/>
      <c r="E3" s="94"/>
      <c r="F3" s="94"/>
      <c r="G3" s="94"/>
      <c r="H3" s="94"/>
      <c r="I3" s="94"/>
      <c r="J3" s="94"/>
    </row>
    <row r="4" spans="1:10" ht="15.75" x14ac:dyDescent="0.25">
      <c r="A4" s="1" t="s">
        <v>21</v>
      </c>
      <c r="B4" s="8" t="s">
        <v>6</v>
      </c>
      <c r="C4" s="59" t="s">
        <v>299</v>
      </c>
      <c r="D4" s="13">
        <v>43101</v>
      </c>
      <c r="E4" s="13">
        <v>43132</v>
      </c>
      <c r="F4" s="13">
        <v>43160</v>
      </c>
      <c r="G4" s="13">
        <v>43191</v>
      </c>
      <c r="H4" s="13">
        <v>43221</v>
      </c>
      <c r="I4" s="13">
        <v>43252</v>
      </c>
      <c r="J4" s="1" t="s">
        <v>81</v>
      </c>
    </row>
    <row r="5" spans="1:10" x14ac:dyDescent="0.25">
      <c r="A5" s="1">
        <v>1</v>
      </c>
      <c r="B5" s="1" t="s">
        <v>83</v>
      </c>
      <c r="C5" s="27">
        <v>16100</v>
      </c>
      <c r="D5" s="27">
        <v>0</v>
      </c>
      <c r="E5" s="27">
        <v>0</v>
      </c>
      <c r="F5" s="38">
        <v>0</v>
      </c>
      <c r="G5" s="27">
        <v>0</v>
      </c>
      <c r="H5" s="27">
        <v>0</v>
      </c>
      <c r="I5" s="27">
        <v>0</v>
      </c>
      <c r="J5" s="27">
        <f t="shared" ref="J5:J34" si="0">SUM(C5:I5)</f>
        <v>16100</v>
      </c>
    </row>
    <row r="6" spans="1:10" ht="15.75" x14ac:dyDescent="0.25">
      <c r="A6" s="1">
        <v>2</v>
      </c>
      <c r="B6" s="17" t="s">
        <v>95</v>
      </c>
      <c r="C6" s="68">
        <v>847900</v>
      </c>
      <c r="D6" s="27">
        <v>0</v>
      </c>
      <c r="E6" s="27">
        <v>0</v>
      </c>
      <c r="F6" s="38">
        <v>0</v>
      </c>
      <c r="G6" s="27">
        <v>0</v>
      </c>
      <c r="H6" s="27">
        <v>0</v>
      </c>
      <c r="I6" s="27">
        <v>5000</v>
      </c>
      <c r="J6" s="27">
        <f t="shared" si="0"/>
        <v>852900</v>
      </c>
    </row>
    <row r="7" spans="1:10" x14ac:dyDescent="0.25">
      <c r="A7" s="1">
        <v>3</v>
      </c>
      <c r="B7" s="1" t="s">
        <v>82</v>
      </c>
      <c r="C7" s="27">
        <v>115500</v>
      </c>
      <c r="D7" s="27">
        <v>0</v>
      </c>
      <c r="E7" s="27">
        <v>0</v>
      </c>
      <c r="F7" s="38">
        <v>0</v>
      </c>
      <c r="G7" s="27">
        <v>0</v>
      </c>
      <c r="H7" s="27">
        <v>0</v>
      </c>
      <c r="I7" s="27">
        <v>0</v>
      </c>
      <c r="J7" s="27">
        <f t="shared" si="0"/>
        <v>115500</v>
      </c>
    </row>
    <row r="8" spans="1:10" x14ac:dyDescent="0.25">
      <c r="A8" s="1">
        <v>4</v>
      </c>
      <c r="B8" s="1" t="s">
        <v>107</v>
      </c>
      <c r="C8" s="27">
        <v>320120</v>
      </c>
      <c r="D8" s="27">
        <v>0</v>
      </c>
      <c r="E8" s="27">
        <v>0</v>
      </c>
      <c r="F8" s="38">
        <v>0</v>
      </c>
      <c r="G8" s="27">
        <v>0</v>
      </c>
      <c r="H8" s="27">
        <v>0</v>
      </c>
      <c r="I8" s="27">
        <v>0</v>
      </c>
      <c r="J8" s="27">
        <f t="shared" si="0"/>
        <v>320120</v>
      </c>
    </row>
    <row r="9" spans="1:10" x14ac:dyDescent="0.25">
      <c r="A9" s="1"/>
      <c r="B9" s="1" t="s">
        <v>123</v>
      </c>
      <c r="C9" s="27">
        <v>571500</v>
      </c>
      <c r="D9" s="27">
        <v>0</v>
      </c>
      <c r="E9" s="27">
        <v>0</v>
      </c>
      <c r="F9" s="38">
        <v>0</v>
      </c>
      <c r="G9" s="27">
        <v>0</v>
      </c>
      <c r="H9" s="27">
        <v>0</v>
      </c>
      <c r="I9" s="27">
        <v>0</v>
      </c>
      <c r="J9" s="27">
        <f t="shared" si="0"/>
        <v>571500</v>
      </c>
    </row>
    <row r="10" spans="1:10" x14ac:dyDescent="0.25">
      <c r="A10" s="1">
        <v>5</v>
      </c>
      <c r="B10" s="1" t="s">
        <v>84</v>
      </c>
      <c r="C10" s="27">
        <v>140858</v>
      </c>
      <c r="D10" s="27">
        <v>0</v>
      </c>
      <c r="E10" s="27">
        <v>0</v>
      </c>
      <c r="F10" s="38">
        <v>0</v>
      </c>
      <c r="G10" s="27">
        <v>0</v>
      </c>
      <c r="H10" s="27">
        <v>0</v>
      </c>
      <c r="I10" s="27">
        <v>0</v>
      </c>
      <c r="J10" s="27">
        <f t="shared" si="0"/>
        <v>140858</v>
      </c>
    </row>
    <row r="11" spans="1:10" x14ac:dyDescent="0.25">
      <c r="A11" s="1">
        <v>6</v>
      </c>
      <c r="B11" s="1" t="s">
        <v>109</v>
      </c>
      <c r="C11" s="27">
        <v>8079245</v>
      </c>
      <c r="D11" s="27">
        <v>353000</v>
      </c>
      <c r="E11" s="27">
        <v>358200</v>
      </c>
      <c r="F11" s="38">
        <v>0</v>
      </c>
      <c r="G11" s="27">
        <v>0</v>
      </c>
      <c r="H11" s="27">
        <v>0</v>
      </c>
      <c r="I11" s="27">
        <v>0</v>
      </c>
      <c r="J11" s="27">
        <f t="shared" si="0"/>
        <v>8790445</v>
      </c>
    </row>
    <row r="12" spans="1:10" x14ac:dyDescent="0.25">
      <c r="A12" s="1">
        <v>7</v>
      </c>
      <c r="B12" s="1" t="s">
        <v>37</v>
      </c>
      <c r="C12" s="27">
        <v>2795405</v>
      </c>
      <c r="D12" s="27">
        <v>95000</v>
      </c>
      <c r="E12" s="27">
        <v>42650</v>
      </c>
      <c r="F12" s="38">
        <v>207800</v>
      </c>
      <c r="G12" s="27">
        <v>43000</v>
      </c>
      <c r="H12" s="27">
        <v>106500</v>
      </c>
      <c r="I12" s="27"/>
      <c r="J12" s="27">
        <f t="shared" si="0"/>
        <v>3290355</v>
      </c>
    </row>
    <row r="13" spans="1:10" x14ac:dyDescent="0.25">
      <c r="A13" s="1">
        <v>8</v>
      </c>
      <c r="B13" s="1" t="s">
        <v>111</v>
      </c>
      <c r="C13" s="27">
        <v>3486094</v>
      </c>
      <c r="D13" s="27">
        <v>82350</v>
      </c>
      <c r="E13" s="27">
        <v>117650</v>
      </c>
      <c r="F13" s="38">
        <v>0</v>
      </c>
      <c r="G13" s="27">
        <v>113585</v>
      </c>
      <c r="H13" s="27">
        <v>0</v>
      </c>
      <c r="I13" s="27">
        <v>0</v>
      </c>
      <c r="J13" s="27">
        <f t="shared" si="0"/>
        <v>3799679</v>
      </c>
    </row>
    <row r="14" spans="1:10" x14ac:dyDescent="0.25">
      <c r="A14" s="1">
        <v>9</v>
      </c>
      <c r="B14" s="1" t="s">
        <v>96</v>
      </c>
      <c r="C14" s="27">
        <v>652150</v>
      </c>
      <c r="D14" s="27">
        <v>39800</v>
      </c>
      <c r="E14" s="27">
        <v>38000</v>
      </c>
      <c r="F14" s="38">
        <v>38900</v>
      </c>
      <c r="G14" s="27">
        <v>55000</v>
      </c>
      <c r="H14" s="27">
        <v>14900</v>
      </c>
      <c r="I14" s="27">
        <v>0</v>
      </c>
      <c r="J14" s="27">
        <f t="shared" si="0"/>
        <v>838750</v>
      </c>
    </row>
    <row r="15" spans="1:10" x14ac:dyDescent="0.25">
      <c r="A15" s="1">
        <v>10</v>
      </c>
      <c r="B15" s="1" t="s">
        <v>217</v>
      </c>
      <c r="C15" s="27">
        <v>488530</v>
      </c>
      <c r="D15" s="27">
        <v>0</v>
      </c>
      <c r="E15" s="27">
        <v>13400</v>
      </c>
      <c r="F15" s="38">
        <v>17500</v>
      </c>
      <c r="G15" s="27">
        <v>10800</v>
      </c>
      <c r="H15" s="27">
        <v>6433</v>
      </c>
      <c r="I15" s="27">
        <v>10500</v>
      </c>
      <c r="J15" s="27">
        <f t="shared" si="0"/>
        <v>547163</v>
      </c>
    </row>
    <row r="16" spans="1:10" x14ac:dyDescent="0.25">
      <c r="A16" s="1">
        <v>11</v>
      </c>
      <c r="B16" s="1" t="s">
        <v>336</v>
      </c>
      <c r="C16" s="27">
        <v>192980</v>
      </c>
      <c r="D16" s="27">
        <v>0</v>
      </c>
      <c r="E16" s="27">
        <v>0</v>
      </c>
      <c r="F16" s="38">
        <v>0</v>
      </c>
      <c r="G16" s="27">
        <v>0</v>
      </c>
      <c r="H16" s="27">
        <v>0</v>
      </c>
      <c r="I16" s="27">
        <v>0</v>
      </c>
      <c r="J16" s="27">
        <f t="shared" si="0"/>
        <v>192980</v>
      </c>
    </row>
    <row r="17" spans="1:10" x14ac:dyDescent="0.25">
      <c r="A17" s="1"/>
      <c r="B17" s="1" t="s">
        <v>108</v>
      </c>
      <c r="C17" s="27">
        <v>125634</v>
      </c>
      <c r="D17" s="27">
        <v>1620</v>
      </c>
      <c r="E17" s="27">
        <v>1600</v>
      </c>
      <c r="F17" s="38">
        <v>1600</v>
      </c>
      <c r="G17" s="27">
        <v>1600</v>
      </c>
      <c r="H17" s="27">
        <v>1600</v>
      </c>
      <c r="I17" s="27">
        <v>1600</v>
      </c>
      <c r="J17" s="27">
        <f t="shared" si="0"/>
        <v>135254</v>
      </c>
    </row>
    <row r="18" spans="1:10" x14ac:dyDescent="0.25">
      <c r="A18" s="1"/>
      <c r="B18" s="1" t="s">
        <v>119</v>
      </c>
      <c r="C18" s="27">
        <v>198003</v>
      </c>
      <c r="D18" s="27">
        <v>1134</v>
      </c>
      <c r="E18" s="27">
        <v>3608</v>
      </c>
      <c r="F18" s="38">
        <v>2688</v>
      </c>
      <c r="G18" s="27">
        <v>2361</v>
      </c>
      <c r="H18" s="27">
        <v>5914</v>
      </c>
      <c r="I18" s="27">
        <v>1844</v>
      </c>
      <c r="J18" s="27">
        <f t="shared" si="0"/>
        <v>215552</v>
      </c>
    </row>
    <row r="19" spans="1:10" x14ac:dyDescent="0.25">
      <c r="A19" s="1">
        <v>12</v>
      </c>
      <c r="B19" s="1" t="s">
        <v>331</v>
      </c>
      <c r="C19" s="27">
        <v>632725</v>
      </c>
      <c r="D19" s="27">
        <v>0</v>
      </c>
      <c r="E19" s="27">
        <v>0</v>
      </c>
      <c r="F19" s="38">
        <v>0</v>
      </c>
      <c r="G19" s="27">
        <v>16155</v>
      </c>
      <c r="H19" s="27">
        <v>0</v>
      </c>
      <c r="I19" s="27">
        <v>17340</v>
      </c>
      <c r="J19" s="27">
        <f t="shared" si="0"/>
        <v>666220</v>
      </c>
    </row>
    <row r="20" spans="1:10" x14ac:dyDescent="0.25">
      <c r="A20" s="1">
        <v>13</v>
      </c>
      <c r="B20" s="1" t="s">
        <v>88</v>
      </c>
      <c r="C20" s="27">
        <v>158109</v>
      </c>
      <c r="D20" s="27">
        <v>0</v>
      </c>
      <c r="E20" s="27">
        <v>0</v>
      </c>
      <c r="F20" s="38">
        <v>0</v>
      </c>
      <c r="G20" s="27">
        <v>0</v>
      </c>
      <c r="H20" s="27">
        <v>0</v>
      </c>
      <c r="I20" s="27">
        <v>0</v>
      </c>
      <c r="J20" s="27">
        <f t="shared" si="0"/>
        <v>158109</v>
      </c>
    </row>
    <row r="21" spans="1:10" x14ac:dyDescent="0.25">
      <c r="A21" s="1">
        <v>14</v>
      </c>
      <c r="B21" s="1" t="s">
        <v>89</v>
      </c>
      <c r="C21" s="27">
        <v>104276</v>
      </c>
      <c r="D21" s="27">
        <v>0</v>
      </c>
      <c r="E21" s="27">
        <v>0</v>
      </c>
      <c r="F21" s="38">
        <v>0</v>
      </c>
      <c r="G21" s="27">
        <v>0</v>
      </c>
      <c r="H21" s="27">
        <v>0</v>
      </c>
      <c r="I21" s="27">
        <v>0</v>
      </c>
      <c r="J21" s="27">
        <f t="shared" si="0"/>
        <v>104276</v>
      </c>
    </row>
    <row r="22" spans="1:10" x14ac:dyDescent="0.25">
      <c r="A22" s="1">
        <v>14</v>
      </c>
      <c r="B22" s="1" t="s">
        <v>90</v>
      </c>
      <c r="C22" s="27">
        <v>200000</v>
      </c>
      <c r="D22" s="27">
        <v>0</v>
      </c>
      <c r="E22" s="27">
        <v>111000</v>
      </c>
      <c r="F22" s="38">
        <v>0</v>
      </c>
      <c r="G22" s="27">
        <v>350000</v>
      </c>
      <c r="H22" s="27">
        <v>0</v>
      </c>
      <c r="I22" s="27">
        <v>0</v>
      </c>
      <c r="J22" s="27">
        <f t="shared" si="0"/>
        <v>661000</v>
      </c>
    </row>
    <row r="23" spans="1:10" x14ac:dyDescent="0.25">
      <c r="A23" s="1">
        <v>15</v>
      </c>
      <c r="B23" s="76" t="s">
        <v>120</v>
      </c>
      <c r="C23" s="27">
        <v>80483</v>
      </c>
      <c r="D23" s="27">
        <v>0</v>
      </c>
      <c r="E23" s="27">
        <v>0</v>
      </c>
      <c r="F23" s="38">
        <v>0</v>
      </c>
      <c r="G23" s="27">
        <v>0</v>
      </c>
      <c r="H23" s="27">
        <v>0</v>
      </c>
      <c r="I23" s="27">
        <v>0</v>
      </c>
      <c r="J23" s="27">
        <f t="shared" si="0"/>
        <v>80483</v>
      </c>
    </row>
    <row r="24" spans="1:10" x14ac:dyDescent="0.25">
      <c r="A24" s="1">
        <v>16</v>
      </c>
      <c r="B24" s="1" t="s">
        <v>128</v>
      </c>
      <c r="C24" s="27">
        <v>225410</v>
      </c>
      <c r="D24" s="27">
        <v>4548</v>
      </c>
      <c r="E24" s="27">
        <v>1095</v>
      </c>
      <c r="F24" s="38">
        <v>27470</v>
      </c>
      <c r="G24" s="27">
        <v>1596</v>
      </c>
      <c r="H24" s="27">
        <v>4121</v>
      </c>
      <c r="I24" s="27">
        <v>2670</v>
      </c>
      <c r="J24" s="27">
        <f t="shared" si="0"/>
        <v>266910</v>
      </c>
    </row>
    <row r="25" spans="1:10" x14ac:dyDescent="0.25">
      <c r="A25" s="1">
        <v>17</v>
      </c>
      <c r="B25" s="1" t="s">
        <v>127</v>
      </c>
      <c r="C25" s="27">
        <v>40000</v>
      </c>
      <c r="D25" s="27">
        <v>0</v>
      </c>
      <c r="E25" s="27">
        <v>0</v>
      </c>
      <c r="F25" s="38">
        <v>0</v>
      </c>
      <c r="G25" s="27">
        <v>0</v>
      </c>
      <c r="H25" s="27">
        <v>0</v>
      </c>
      <c r="I25" s="27">
        <v>0</v>
      </c>
      <c r="J25" s="27">
        <f t="shared" si="0"/>
        <v>40000</v>
      </c>
    </row>
    <row r="26" spans="1:10" x14ac:dyDescent="0.25">
      <c r="A26" s="1">
        <v>18</v>
      </c>
      <c r="B26" s="1" t="s">
        <v>129</v>
      </c>
      <c r="C26" s="27">
        <v>841265</v>
      </c>
      <c r="D26" s="27">
        <v>0</v>
      </c>
      <c r="E26" s="27">
        <v>242700</v>
      </c>
      <c r="F26" s="38">
        <v>234770</v>
      </c>
      <c r="G26" s="27">
        <v>104400</v>
      </c>
      <c r="H26" s="27">
        <v>32000</v>
      </c>
      <c r="I26" s="27">
        <v>184200</v>
      </c>
      <c r="J26" s="27">
        <f t="shared" si="0"/>
        <v>1639335</v>
      </c>
    </row>
    <row r="27" spans="1:10" x14ac:dyDescent="0.25">
      <c r="A27" s="1">
        <v>19</v>
      </c>
      <c r="B27" s="1" t="s">
        <v>157</v>
      </c>
      <c r="C27" s="27">
        <v>9690</v>
      </c>
      <c r="D27" s="27">
        <v>0</v>
      </c>
      <c r="E27" s="27">
        <v>2446</v>
      </c>
      <c r="F27" s="38">
        <v>0</v>
      </c>
      <c r="G27" s="27">
        <v>2700</v>
      </c>
      <c r="H27" s="27">
        <v>0</v>
      </c>
      <c r="I27" s="27">
        <v>0</v>
      </c>
      <c r="J27" s="27">
        <f t="shared" si="0"/>
        <v>14836</v>
      </c>
    </row>
    <row r="28" spans="1:10" x14ac:dyDescent="0.25">
      <c r="A28" s="1">
        <v>20</v>
      </c>
      <c r="B28" s="1" t="s">
        <v>158</v>
      </c>
      <c r="C28" s="27">
        <v>1360</v>
      </c>
      <c r="D28" s="27">
        <v>0</v>
      </c>
      <c r="E28" s="27">
        <v>0</v>
      </c>
      <c r="F28" s="38">
        <v>0</v>
      </c>
      <c r="G28" s="27">
        <v>0</v>
      </c>
      <c r="H28" s="27">
        <v>0</v>
      </c>
      <c r="I28" s="27">
        <v>0</v>
      </c>
      <c r="J28" s="27">
        <f t="shared" si="0"/>
        <v>1360</v>
      </c>
    </row>
    <row r="29" spans="1:10" x14ac:dyDescent="0.25">
      <c r="A29" s="66">
        <v>21</v>
      </c>
      <c r="B29" s="66" t="s">
        <v>209</v>
      </c>
      <c r="C29" s="27">
        <v>62573</v>
      </c>
      <c r="D29" s="27">
        <v>0</v>
      </c>
      <c r="E29" s="27">
        <v>0</v>
      </c>
      <c r="F29" s="90">
        <v>0</v>
      </c>
      <c r="G29" s="91">
        <v>0</v>
      </c>
      <c r="H29" s="91">
        <v>0</v>
      </c>
      <c r="I29" s="91">
        <v>0</v>
      </c>
      <c r="J29" s="91">
        <f t="shared" si="0"/>
        <v>62573</v>
      </c>
    </row>
    <row r="30" spans="1:10" x14ac:dyDescent="0.25">
      <c r="A30" s="66">
        <v>22</v>
      </c>
      <c r="B30" s="66" t="s">
        <v>210</v>
      </c>
      <c r="C30" s="27">
        <v>47610</v>
      </c>
      <c r="D30" s="27">
        <v>0</v>
      </c>
      <c r="E30" s="27">
        <v>0</v>
      </c>
      <c r="F30" s="90">
        <v>0</v>
      </c>
      <c r="G30" s="91">
        <v>0</v>
      </c>
      <c r="H30" s="91">
        <v>0</v>
      </c>
      <c r="I30" s="91">
        <v>0</v>
      </c>
      <c r="J30" s="91">
        <f t="shared" si="0"/>
        <v>47610</v>
      </c>
    </row>
    <row r="31" spans="1:10" x14ac:dyDescent="0.25">
      <c r="A31" s="3">
        <v>23</v>
      </c>
      <c r="B31" s="3" t="s">
        <v>130</v>
      </c>
      <c r="C31" s="15">
        <v>1812545</v>
      </c>
      <c r="D31" s="15">
        <v>0</v>
      </c>
      <c r="E31" s="15">
        <v>0</v>
      </c>
      <c r="F31" s="3">
        <v>0</v>
      </c>
      <c r="G31" s="15">
        <v>0</v>
      </c>
      <c r="H31" s="15">
        <v>0</v>
      </c>
      <c r="I31" s="15">
        <v>0</v>
      </c>
      <c r="J31" s="14">
        <f t="shared" si="0"/>
        <v>1812545</v>
      </c>
    </row>
    <row r="32" spans="1:10" x14ac:dyDescent="0.25">
      <c r="A32" s="3" t="s">
        <v>305</v>
      </c>
      <c r="B32" s="3" t="s">
        <v>306</v>
      </c>
      <c r="C32" s="15">
        <v>264000</v>
      </c>
      <c r="D32" s="15">
        <v>44000</v>
      </c>
      <c r="E32" s="15">
        <v>90000</v>
      </c>
      <c r="F32" s="3">
        <v>170500</v>
      </c>
      <c r="G32" s="15">
        <v>86000</v>
      </c>
      <c r="H32" s="15">
        <v>76000</v>
      </c>
      <c r="I32" s="15">
        <v>99000</v>
      </c>
      <c r="J32" s="14">
        <f t="shared" si="0"/>
        <v>829500</v>
      </c>
    </row>
    <row r="33" spans="1:10" x14ac:dyDescent="0.25">
      <c r="A33" s="1">
        <v>24</v>
      </c>
      <c r="B33" s="1" t="s">
        <v>216</v>
      </c>
      <c r="C33" s="14">
        <v>3025635</v>
      </c>
      <c r="D33" s="14">
        <v>68054</v>
      </c>
      <c r="E33" s="14">
        <v>69000</v>
      </c>
      <c r="F33" s="1">
        <v>73000</v>
      </c>
      <c r="G33" s="14">
        <v>101550</v>
      </c>
      <c r="H33" s="14">
        <v>73000</v>
      </c>
      <c r="I33" s="14">
        <v>106000</v>
      </c>
      <c r="J33" s="14">
        <f t="shared" si="0"/>
        <v>3516239</v>
      </c>
    </row>
    <row r="34" spans="1:10" x14ac:dyDescent="0.25">
      <c r="A34" s="1">
        <v>25</v>
      </c>
      <c r="B34" s="1" t="s">
        <v>282</v>
      </c>
      <c r="C34" s="14">
        <v>18500</v>
      </c>
      <c r="D34" s="14">
        <v>0</v>
      </c>
      <c r="E34" s="14">
        <v>3500</v>
      </c>
      <c r="F34" s="1">
        <v>0</v>
      </c>
      <c r="G34" s="14">
        <v>0</v>
      </c>
      <c r="H34" s="14">
        <v>0</v>
      </c>
      <c r="I34" s="14">
        <v>0</v>
      </c>
      <c r="J34" s="14">
        <f t="shared" si="0"/>
        <v>22000</v>
      </c>
    </row>
    <row r="35" spans="1:10" x14ac:dyDescent="0.25">
      <c r="A35" s="1"/>
      <c r="B35" s="3" t="s">
        <v>93</v>
      </c>
      <c r="C35" s="15">
        <f>SUM(C5:C34)</f>
        <v>25554200</v>
      </c>
      <c r="D35" s="15">
        <f>SUM(D5:D34)</f>
        <v>689506</v>
      </c>
      <c r="E35" s="15">
        <f>SUM(E5:E34)</f>
        <v>1094849</v>
      </c>
      <c r="F35" s="15">
        <f t="shared" ref="F35" si="1">SUM(F5:F33)</f>
        <v>774228</v>
      </c>
      <c r="G35" s="15">
        <f>SUM(G5:G34)</f>
        <v>888747</v>
      </c>
      <c r="H35" s="15">
        <f>SUM(H5:H34)</f>
        <v>320468</v>
      </c>
      <c r="I35" s="15">
        <f>SUM(I5:I34)</f>
        <v>428154</v>
      </c>
      <c r="J35" s="15">
        <f>SUM(J5:J34)</f>
        <v>29750152</v>
      </c>
    </row>
    <row r="38" spans="1:10" x14ac:dyDescent="0.25">
      <c r="A38" s="1"/>
      <c r="B38" s="3" t="s">
        <v>337</v>
      </c>
      <c r="C38" s="59" t="s">
        <v>299</v>
      </c>
      <c r="D38" s="13">
        <v>43101</v>
      </c>
      <c r="E38" s="13">
        <v>43132</v>
      </c>
      <c r="F38" s="13">
        <v>43160</v>
      </c>
      <c r="G38" s="13">
        <v>43191</v>
      </c>
      <c r="H38" s="13">
        <v>43221</v>
      </c>
      <c r="I38" s="13">
        <v>43252</v>
      </c>
      <c r="J38" s="1" t="s">
        <v>81</v>
      </c>
    </row>
    <row r="39" spans="1:10" x14ac:dyDescent="0.25">
      <c r="A39" s="1">
        <v>16</v>
      </c>
      <c r="B39" s="1" t="s">
        <v>92</v>
      </c>
      <c r="C39" s="1">
        <v>154380</v>
      </c>
      <c r="D39" s="14">
        <v>4880</v>
      </c>
      <c r="E39" s="14">
        <v>4848</v>
      </c>
      <c r="F39" s="1">
        <v>4919</v>
      </c>
      <c r="G39" s="14">
        <v>4943</v>
      </c>
      <c r="H39" s="27">
        <v>4923</v>
      </c>
      <c r="I39" s="27">
        <v>5023</v>
      </c>
      <c r="J39" s="14">
        <f t="shared" ref="J39:J49" si="2">SUM(C39:I39)</f>
        <v>183916</v>
      </c>
    </row>
    <row r="40" spans="1:10" x14ac:dyDescent="0.25">
      <c r="A40" s="1">
        <v>17</v>
      </c>
      <c r="B40" s="1" t="s">
        <v>97</v>
      </c>
      <c r="C40" s="1">
        <v>190000</v>
      </c>
      <c r="D40" s="14">
        <v>0</v>
      </c>
      <c r="E40" s="14">
        <v>0</v>
      </c>
      <c r="F40" s="1">
        <v>0</v>
      </c>
      <c r="G40" s="14">
        <v>0</v>
      </c>
      <c r="H40" s="27">
        <v>0</v>
      </c>
      <c r="I40" s="27">
        <v>0</v>
      </c>
      <c r="J40" s="14">
        <f t="shared" si="2"/>
        <v>190000</v>
      </c>
    </row>
    <row r="41" spans="1:10" x14ac:dyDescent="0.25">
      <c r="A41" s="1">
        <v>18</v>
      </c>
      <c r="B41" s="1" t="s">
        <v>98</v>
      </c>
      <c r="C41" s="1">
        <v>58500</v>
      </c>
      <c r="D41" s="14">
        <v>948</v>
      </c>
      <c r="E41" s="14">
        <v>3890</v>
      </c>
      <c r="F41" s="1">
        <v>2899</v>
      </c>
      <c r="G41" s="14">
        <v>2001</v>
      </c>
      <c r="H41" s="27">
        <v>3529</v>
      </c>
      <c r="I41" s="27">
        <v>930</v>
      </c>
      <c r="J41" s="14">
        <f t="shared" si="2"/>
        <v>72697</v>
      </c>
    </row>
    <row r="42" spans="1:10" x14ac:dyDescent="0.25">
      <c r="A42" s="1">
        <v>19</v>
      </c>
      <c r="B42" s="1" t="s">
        <v>46</v>
      </c>
      <c r="C42" s="1">
        <v>61632</v>
      </c>
      <c r="D42" s="14">
        <v>497</v>
      </c>
      <c r="E42" s="14">
        <v>535</v>
      </c>
      <c r="F42" s="1">
        <v>905</v>
      </c>
      <c r="G42" s="14">
        <v>660</v>
      </c>
      <c r="H42" s="27">
        <v>480</v>
      </c>
      <c r="I42" s="27">
        <v>615</v>
      </c>
      <c r="J42" s="14">
        <f t="shared" si="2"/>
        <v>65324</v>
      </c>
    </row>
    <row r="43" spans="1:10" x14ac:dyDescent="0.25">
      <c r="A43" s="1">
        <v>20</v>
      </c>
      <c r="B43" s="1" t="s">
        <v>14</v>
      </c>
      <c r="C43" s="1">
        <v>83064</v>
      </c>
      <c r="D43" s="14">
        <v>1039</v>
      </c>
      <c r="E43" s="14">
        <v>1580</v>
      </c>
      <c r="F43" s="1">
        <v>2360</v>
      </c>
      <c r="G43" s="14">
        <v>1290</v>
      </c>
      <c r="H43" s="27">
        <v>1225</v>
      </c>
      <c r="I43" s="27">
        <v>1770</v>
      </c>
      <c r="J43" s="14">
        <f t="shared" si="2"/>
        <v>92328</v>
      </c>
    </row>
    <row r="44" spans="1:10" x14ac:dyDescent="0.25">
      <c r="A44" s="3">
        <v>21</v>
      </c>
      <c r="B44" s="3" t="s">
        <v>332</v>
      </c>
      <c r="C44" s="1">
        <v>0</v>
      </c>
      <c r="D44" s="14">
        <v>0</v>
      </c>
      <c r="E44" s="14">
        <v>0</v>
      </c>
      <c r="F44" s="1">
        <v>0</v>
      </c>
      <c r="G44" s="14">
        <v>0</v>
      </c>
      <c r="H44" s="27">
        <v>4200</v>
      </c>
      <c r="I44" s="27">
        <v>0</v>
      </c>
      <c r="J44" s="14">
        <f t="shared" si="2"/>
        <v>4200</v>
      </c>
    </row>
    <row r="45" spans="1:10" x14ac:dyDescent="0.25">
      <c r="A45" s="1"/>
      <c r="B45" s="1" t="s">
        <v>333</v>
      </c>
      <c r="C45" s="1">
        <v>0</v>
      </c>
      <c r="D45" s="14">
        <v>0</v>
      </c>
      <c r="E45" s="14">
        <v>0</v>
      </c>
      <c r="F45" s="1">
        <v>0</v>
      </c>
      <c r="G45" s="14">
        <v>0</v>
      </c>
      <c r="H45" s="27">
        <v>0</v>
      </c>
      <c r="I45" s="27">
        <v>9100</v>
      </c>
      <c r="J45" s="14">
        <f t="shared" si="2"/>
        <v>9100</v>
      </c>
    </row>
    <row r="46" spans="1:10" x14ac:dyDescent="0.25">
      <c r="A46" s="1"/>
      <c r="B46" s="1" t="s">
        <v>334</v>
      </c>
      <c r="C46" s="1">
        <v>0</v>
      </c>
      <c r="D46" s="14">
        <v>0</v>
      </c>
      <c r="E46" s="14">
        <v>0</v>
      </c>
      <c r="F46" s="1">
        <v>0</v>
      </c>
      <c r="G46" s="14">
        <v>0</v>
      </c>
      <c r="H46" s="27">
        <v>31740</v>
      </c>
      <c r="I46" s="27">
        <v>0</v>
      </c>
      <c r="J46" s="14">
        <f t="shared" si="2"/>
        <v>31740</v>
      </c>
    </row>
    <row r="47" spans="1:10" x14ac:dyDescent="0.25">
      <c r="A47" s="1"/>
      <c r="B47" s="1" t="s">
        <v>335</v>
      </c>
      <c r="C47" s="1">
        <v>0</v>
      </c>
      <c r="D47" s="14">
        <v>0</v>
      </c>
      <c r="E47" s="14">
        <v>0</v>
      </c>
      <c r="F47" s="1">
        <v>0</v>
      </c>
      <c r="G47" s="14">
        <v>0</v>
      </c>
      <c r="H47" s="27">
        <v>0</v>
      </c>
      <c r="I47" s="27">
        <v>0</v>
      </c>
      <c r="J47" s="14">
        <f t="shared" si="2"/>
        <v>0</v>
      </c>
    </row>
    <row r="48" spans="1:10" x14ac:dyDescent="0.25">
      <c r="A48" s="1">
        <v>22</v>
      </c>
      <c r="B48" s="38" t="s">
        <v>275</v>
      </c>
      <c r="C48" s="78">
        <v>1758500</v>
      </c>
      <c r="D48" s="77">
        <v>70000</v>
      </c>
      <c r="E48" s="77">
        <v>0</v>
      </c>
      <c r="F48" s="78"/>
      <c r="G48" s="77">
        <v>401900</v>
      </c>
      <c r="H48" s="79">
        <v>0</v>
      </c>
      <c r="I48" s="79">
        <v>50000</v>
      </c>
      <c r="J48" s="77">
        <f t="shared" si="2"/>
        <v>2280400</v>
      </c>
    </row>
    <row r="49" spans="1:10" x14ac:dyDescent="0.25">
      <c r="A49" s="1">
        <v>23</v>
      </c>
      <c r="B49" s="1" t="s">
        <v>314</v>
      </c>
      <c r="C49" s="78">
        <v>0</v>
      </c>
      <c r="D49" s="77"/>
      <c r="E49" s="77">
        <v>425000</v>
      </c>
      <c r="F49" s="78"/>
      <c r="G49" s="77">
        <v>410000</v>
      </c>
      <c r="H49" s="79">
        <v>0</v>
      </c>
      <c r="I49" s="79">
        <v>0</v>
      </c>
      <c r="J49" s="77">
        <f t="shared" si="2"/>
        <v>835000</v>
      </c>
    </row>
    <row r="50" spans="1:10" x14ac:dyDescent="0.25">
      <c r="A50" s="1"/>
      <c r="B50" s="3" t="s">
        <v>93</v>
      </c>
      <c r="C50" s="3">
        <v>547576</v>
      </c>
      <c r="D50" s="74">
        <f t="shared" ref="D50:J50" si="3">SUM(D39:D47)</f>
        <v>7364</v>
      </c>
      <c r="E50" s="74">
        <f t="shared" si="3"/>
        <v>10853</v>
      </c>
      <c r="F50" s="74">
        <f t="shared" si="3"/>
        <v>11083</v>
      </c>
      <c r="G50" s="74">
        <f t="shared" si="3"/>
        <v>8894</v>
      </c>
      <c r="H50" s="74">
        <f t="shared" si="3"/>
        <v>46097</v>
      </c>
      <c r="I50" s="74">
        <f t="shared" si="3"/>
        <v>17438</v>
      </c>
      <c r="J50" s="74">
        <f t="shared" si="3"/>
        <v>649305</v>
      </c>
    </row>
    <row r="51" spans="1:10" ht="15.75" x14ac:dyDescent="0.25">
      <c r="A51" s="1"/>
      <c r="B51" s="8" t="s">
        <v>94</v>
      </c>
      <c r="C51" s="16">
        <f t="shared" ref="C51:I51" si="4">C35+C50</f>
        <v>26101776</v>
      </c>
      <c r="D51" s="16">
        <f t="shared" si="4"/>
        <v>696870</v>
      </c>
      <c r="E51" s="16">
        <f t="shared" si="4"/>
        <v>1105702</v>
      </c>
      <c r="F51" s="16">
        <f t="shared" si="4"/>
        <v>785311</v>
      </c>
      <c r="G51" s="16">
        <f t="shared" si="4"/>
        <v>897641</v>
      </c>
      <c r="H51" s="16">
        <f t="shared" si="4"/>
        <v>366565</v>
      </c>
      <c r="I51" s="16">
        <f t="shared" si="4"/>
        <v>445592</v>
      </c>
      <c r="J51" s="16">
        <f>SUM(J35+J50)</f>
        <v>30399457</v>
      </c>
    </row>
    <row r="53" spans="1:10" x14ac:dyDescent="0.25">
      <c r="J53" s="26"/>
    </row>
    <row r="58" spans="1:10" ht="18.75" x14ac:dyDescent="0.3">
      <c r="B58" s="5"/>
    </row>
    <row r="59" spans="1:10" ht="18.75" x14ac:dyDescent="0.3">
      <c r="B59" s="5"/>
    </row>
    <row r="60" spans="1:10" ht="18.75" x14ac:dyDescent="0.3">
      <c r="B60" s="5"/>
    </row>
    <row r="61" spans="1:10" ht="18.75" x14ac:dyDescent="0.3">
      <c r="B61" s="5"/>
    </row>
    <row r="62" spans="1:10" ht="18.75" x14ac:dyDescent="0.3">
      <c r="B62" s="5"/>
    </row>
    <row r="63" spans="1:10" x14ac:dyDescent="0.25">
      <c r="A63" s="61"/>
      <c r="B63" s="61"/>
      <c r="C63" s="80"/>
      <c r="D63" s="60"/>
      <c r="E63" s="60"/>
      <c r="F63" s="60"/>
      <c r="G63" s="61"/>
    </row>
    <row r="64" spans="1:10" x14ac:dyDescent="0.25">
      <c r="A64" s="25"/>
      <c r="B64" s="22"/>
      <c r="C64" s="81"/>
      <c r="D64" s="22"/>
      <c r="E64" s="22"/>
      <c r="F64" s="22"/>
      <c r="G64" s="82"/>
    </row>
    <row r="65" spans="1:10" x14ac:dyDescent="0.25">
      <c r="A65" s="25"/>
      <c r="B65" s="22"/>
      <c r="C65" s="81"/>
      <c r="D65" s="22"/>
      <c r="E65" s="22"/>
      <c r="F65" s="22"/>
      <c r="G65" s="82"/>
    </row>
    <row r="66" spans="1:10" x14ac:dyDescent="0.25">
      <c r="A66" s="25"/>
      <c r="B66" s="22"/>
      <c r="C66" s="81"/>
      <c r="D66" s="22"/>
      <c r="E66" s="22"/>
      <c r="F66" s="22"/>
      <c r="G66" s="82"/>
    </row>
    <row r="67" spans="1:10" x14ac:dyDescent="0.25">
      <c r="A67" s="25"/>
      <c r="B67" s="22"/>
      <c r="C67" s="81"/>
      <c r="D67" s="22"/>
      <c r="E67" s="22"/>
      <c r="F67" s="22"/>
      <c r="G67" s="82"/>
    </row>
    <row r="68" spans="1:10" x14ac:dyDescent="0.25">
      <c r="A68" s="25"/>
      <c r="B68" s="22"/>
      <c r="C68" s="81"/>
      <c r="D68" s="22"/>
      <c r="E68" s="22"/>
      <c r="F68" s="22"/>
      <c r="G68" s="82"/>
    </row>
    <row r="69" spans="1:10" x14ac:dyDescent="0.25">
      <c r="A69" s="25"/>
      <c r="B69" s="25"/>
      <c r="C69" s="83"/>
      <c r="D69" s="22"/>
      <c r="E69" s="22"/>
      <c r="F69" s="22"/>
      <c r="G69" s="84"/>
    </row>
    <row r="70" spans="1:10" x14ac:dyDescent="0.25">
      <c r="A70" s="22"/>
      <c r="B70" s="85"/>
      <c r="C70" s="86"/>
      <c r="D70" s="86"/>
      <c r="E70" s="86"/>
      <c r="F70" s="86"/>
      <c r="G70" s="86"/>
    </row>
    <row r="75" spans="1:10" ht="18.75" x14ac:dyDescent="0.3">
      <c r="B75" s="5" t="s">
        <v>80</v>
      </c>
    </row>
    <row r="76" spans="1:10" ht="18.75" x14ac:dyDescent="0.3">
      <c r="B76" s="5" t="s">
        <v>64</v>
      </c>
    </row>
    <row r="77" spans="1:10" ht="18.75" x14ac:dyDescent="0.3">
      <c r="B77" s="5" t="s">
        <v>271</v>
      </c>
    </row>
    <row r="78" spans="1:10" ht="18.75" x14ac:dyDescent="0.3">
      <c r="B78" s="5" t="s">
        <v>339</v>
      </c>
    </row>
    <row r="79" spans="1:10" ht="18.75" x14ac:dyDescent="0.3">
      <c r="B79" s="5"/>
    </row>
    <row r="80" spans="1:10" x14ac:dyDescent="0.25">
      <c r="A80" s="3" t="s">
        <v>163</v>
      </c>
      <c r="B80" s="3" t="s">
        <v>164</v>
      </c>
      <c r="C80" s="59" t="s">
        <v>299</v>
      </c>
      <c r="D80" s="13">
        <v>43101</v>
      </c>
      <c r="E80" s="13">
        <v>43132</v>
      </c>
      <c r="F80" s="13">
        <v>43160</v>
      </c>
      <c r="G80" s="13">
        <v>43191</v>
      </c>
      <c r="H80" s="13">
        <v>43221</v>
      </c>
      <c r="I80" s="13">
        <v>43252</v>
      </c>
      <c r="J80" s="1" t="s">
        <v>81</v>
      </c>
    </row>
    <row r="81" spans="1:10" x14ac:dyDescent="0.25">
      <c r="A81" s="38">
        <v>1</v>
      </c>
      <c r="B81" s="1" t="s">
        <v>199</v>
      </c>
      <c r="C81" s="14">
        <v>150000</v>
      </c>
      <c r="D81" s="1">
        <v>0</v>
      </c>
      <c r="E81" s="1">
        <v>75000</v>
      </c>
      <c r="F81" s="1"/>
      <c r="G81" s="70"/>
      <c r="H81" s="1"/>
      <c r="I81" s="1"/>
      <c r="J81" s="70">
        <f>SUM(C81:I81)</f>
        <v>225000</v>
      </c>
    </row>
    <row r="82" spans="1:10" x14ac:dyDescent="0.25">
      <c r="A82" s="38"/>
      <c r="B82" s="1" t="s">
        <v>202</v>
      </c>
      <c r="C82" s="14">
        <v>90000</v>
      </c>
      <c r="D82" s="1"/>
      <c r="E82" s="1"/>
      <c r="F82" s="1"/>
      <c r="G82" s="70"/>
      <c r="H82" s="1"/>
      <c r="I82" s="1"/>
      <c r="J82" s="70">
        <f t="shared" ref="J82:J87" si="5">SUM(C82:I82)</f>
        <v>90000</v>
      </c>
    </row>
    <row r="83" spans="1:10" x14ac:dyDescent="0.25">
      <c r="A83" s="38">
        <v>2</v>
      </c>
      <c r="B83" s="1" t="s">
        <v>223</v>
      </c>
      <c r="C83" s="14">
        <v>602000</v>
      </c>
      <c r="D83" s="1">
        <v>350400</v>
      </c>
      <c r="E83" s="1">
        <v>0</v>
      </c>
      <c r="F83" s="1">
        <v>1500</v>
      </c>
      <c r="G83" s="70">
        <v>600000</v>
      </c>
      <c r="H83" s="1"/>
      <c r="I83" s="1"/>
      <c r="J83" s="70">
        <f t="shared" si="5"/>
        <v>1553900</v>
      </c>
    </row>
    <row r="84" spans="1:10" x14ac:dyDescent="0.25">
      <c r="A84" s="38">
        <v>3</v>
      </c>
      <c r="B84" s="1" t="s">
        <v>222</v>
      </c>
      <c r="C84" s="14">
        <v>565000</v>
      </c>
      <c r="D84" s="1">
        <v>0</v>
      </c>
      <c r="E84" s="1">
        <v>0</v>
      </c>
      <c r="F84" s="1">
        <v>0</v>
      </c>
      <c r="G84" s="70">
        <v>0</v>
      </c>
      <c r="H84" s="1">
        <v>0</v>
      </c>
      <c r="I84" s="1">
        <v>0</v>
      </c>
      <c r="J84" s="70">
        <f t="shared" si="5"/>
        <v>565000</v>
      </c>
    </row>
    <row r="85" spans="1:10" x14ac:dyDescent="0.25">
      <c r="A85" s="38">
        <v>4</v>
      </c>
      <c r="B85" s="1" t="s">
        <v>231</v>
      </c>
      <c r="C85" s="14">
        <v>536000</v>
      </c>
      <c r="D85" s="1"/>
      <c r="E85" s="1"/>
      <c r="F85" s="1"/>
      <c r="G85" s="70"/>
      <c r="H85" s="1"/>
      <c r="I85" s="1"/>
      <c r="J85" s="70">
        <f t="shared" si="5"/>
        <v>536000</v>
      </c>
    </row>
    <row r="86" spans="1:10" x14ac:dyDescent="0.25">
      <c r="A86" s="38">
        <v>5</v>
      </c>
      <c r="B86" s="38" t="s">
        <v>241</v>
      </c>
      <c r="C86" s="27">
        <v>700000</v>
      </c>
      <c r="D86" s="1"/>
      <c r="E86" s="1"/>
      <c r="F86" s="1"/>
      <c r="G86" s="72"/>
      <c r="H86" s="1"/>
      <c r="I86" s="1"/>
      <c r="J86" s="70">
        <f t="shared" si="5"/>
        <v>700000</v>
      </c>
    </row>
    <row r="87" spans="1:10" x14ac:dyDescent="0.25">
      <c r="A87" s="38">
        <v>6</v>
      </c>
      <c r="B87" s="38" t="s">
        <v>309</v>
      </c>
      <c r="C87" s="27">
        <v>20000</v>
      </c>
      <c r="D87" s="1"/>
      <c r="E87" s="1"/>
      <c r="F87" s="1"/>
      <c r="G87" s="72"/>
      <c r="H87" s="1"/>
      <c r="I87" s="1"/>
      <c r="J87" s="70">
        <f t="shared" si="5"/>
        <v>20000</v>
      </c>
    </row>
    <row r="88" spans="1:10" x14ac:dyDescent="0.25">
      <c r="A88" s="1"/>
      <c r="B88" s="71" t="s">
        <v>138</v>
      </c>
      <c r="C88" s="15">
        <f>SUM(C81:C87)</f>
        <v>2663000</v>
      </c>
      <c r="D88" s="15">
        <f>SUM(D81:D86)</f>
        <v>350400</v>
      </c>
      <c r="E88" s="15">
        <f>SUM(E81:E87)</f>
        <v>75000</v>
      </c>
      <c r="F88" s="15">
        <f>SUM(F81:F86)</f>
        <v>1500</v>
      </c>
      <c r="G88" s="15">
        <f>SUM(G81:G86)</f>
        <v>600000</v>
      </c>
      <c r="H88" s="1"/>
      <c r="I88" s="15">
        <f>SUM(I81:I87)</f>
        <v>0</v>
      </c>
      <c r="J88" s="15">
        <f>SUM(J81:J87)</f>
        <v>3689900</v>
      </c>
    </row>
    <row r="89" spans="1:10" x14ac:dyDescent="0.25">
      <c r="A89" s="22"/>
      <c r="B89" s="85"/>
      <c r="C89" s="86"/>
      <c r="D89" s="86"/>
      <c r="E89" s="86"/>
      <c r="F89" s="86"/>
      <c r="G89" s="86"/>
      <c r="H89" s="22"/>
      <c r="I89" s="22"/>
      <c r="J89" s="86"/>
    </row>
    <row r="90" spans="1:10" x14ac:dyDescent="0.25">
      <c r="A90" s="22"/>
      <c r="B90" s="85"/>
      <c r="C90" s="86"/>
      <c r="D90" s="86"/>
      <c r="E90" s="86"/>
      <c r="F90" s="86"/>
      <c r="G90" s="86"/>
      <c r="H90" s="22"/>
      <c r="I90" s="22"/>
      <c r="J90" s="86"/>
    </row>
    <row r="91" spans="1:10" ht="18.75" x14ac:dyDescent="0.3">
      <c r="B91" s="5" t="s">
        <v>80</v>
      </c>
    </row>
    <row r="92" spans="1:10" ht="18.75" x14ac:dyDescent="0.3">
      <c r="B92" s="5" t="s">
        <v>64</v>
      </c>
    </row>
    <row r="93" spans="1:10" ht="18.75" x14ac:dyDescent="0.3">
      <c r="B93" s="5" t="s">
        <v>272</v>
      </c>
    </row>
    <row r="94" spans="1:10" ht="18.75" x14ac:dyDescent="0.3">
      <c r="B94" s="5" t="s">
        <v>339</v>
      </c>
    </row>
    <row r="95" spans="1:10" ht="18.75" x14ac:dyDescent="0.3">
      <c r="B95" s="5"/>
    </row>
    <row r="96" spans="1:10" x14ac:dyDescent="0.25">
      <c r="A96" s="3" t="s">
        <v>163</v>
      </c>
      <c r="B96" s="3" t="s">
        <v>164</v>
      </c>
      <c r="C96" s="59" t="s">
        <v>299</v>
      </c>
      <c r="D96" s="13">
        <v>43101</v>
      </c>
      <c r="E96" s="13">
        <v>43132</v>
      </c>
      <c r="F96" s="13">
        <v>43160</v>
      </c>
      <c r="G96" s="13">
        <v>43191</v>
      </c>
      <c r="H96" s="13">
        <v>43221</v>
      </c>
      <c r="I96" s="13">
        <v>43252</v>
      </c>
      <c r="J96" s="3" t="s">
        <v>166</v>
      </c>
    </row>
    <row r="97" spans="1:10" x14ac:dyDescent="0.25">
      <c r="A97" s="38">
        <v>1</v>
      </c>
      <c r="B97" s="1" t="s">
        <v>199</v>
      </c>
      <c r="C97" s="14"/>
      <c r="D97" s="1">
        <v>0</v>
      </c>
      <c r="E97" s="1">
        <v>0</v>
      </c>
      <c r="F97" s="1"/>
      <c r="G97" s="70"/>
      <c r="H97" s="1"/>
      <c r="I97" s="1"/>
      <c r="J97" s="70">
        <f>SUM(C97:I97)</f>
        <v>0</v>
      </c>
    </row>
    <row r="98" spans="1:10" x14ac:dyDescent="0.25">
      <c r="A98" s="38"/>
      <c r="B98" s="1" t="s">
        <v>202</v>
      </c>
      <c r="C98" s="14">
        <v>0</v>
      </c>
      <c r="D98" s="1">
        <v>0</v>
      </c>
      <c r="E98" s="1">
        <v>0</v>
      </c>
      <c r="F98" s="1"/>
      <c r="G98" s="70"/>
      <c r="H98" s="1"/>
      <c r="I98" s="1"/>
      <c r="J98" s="70">
        <f t="shared" ref="J98:J103" si="6">SUM(C98:I98)</f>
        <v>0</v>
      </c>
    </row>
    <row r="99" spans="1:10" x14ac:dyDescent="0.25">
      <c r="A99" s="38">
        <v>2</v>
      </c>
      <c r="B99" s="1" t="s">
        <v>223</v>
      </c>
      <c r="C99" s="14">
        <v>500000</v>
      </c>
      <c r="D99" s="1">
        <v>0</v>
      </c>
      <c r="E99" s="1">
        <v>0</v>
      </c>
      <c r="F99" s="1">
        <v>351900</v>
      </c>
      <c r="G99" s="70"/>
      <c r="H99" s="1"/>
      <c r="I99" s="1"/>
      <c r="J99" s="70">
        <f t="shared" si="6"/>
        <v>851900</v>
      </c>
    </row>
    <row r="100" spans="1:10" x14ac:dyDescent="0.25">
      <c r="A100" s="38">
        <v>3</v>
      </c>
      <c r="B100" s="1" t="s">
        <v>222</v>
      </c>
      <c r="C100" s="14">
        <v>275000</v>
      </c>
      <c r="D100" s="1">
        <v>50000</v>
      </c>
      <c r="E100" s="1">
        <v>0</v>
      </c>
      <c r="F100" s="1">
        <v>50000</v>
      </c>
      <c r="G100" s="70">
        <v>50000</v>
      </c>
      <c r="H100" s="1"/>
      <c r="I100" s="1"/>
      <c r="J100" s="70">
        <f t="shared" si="6"/>
        <v>425000</v>
      </c>
    </row>
    <row r="101" spans="1:10" x14ac:dyDescent="0.25">
      <c r="A101" s="38">
        <v>4</v>
      </c>
      <c r="B101" s="1" t="s">
        <v>231</v>
      </c>
      <c r="C101" s="14">
        <v>500000</v>
      </c>
      <c r="D101" s="1"/>
      <c r="E101" s="1"/>
      <c r="F101" s="1"/>
      <c r="G101" s="70"/>
      <c r="H101" s="1"/>
      <c r="I101" s="1"/>
      <c r="J101" s="70">
        <f t="shared" si="6"/>
        <v>500000</v>
      </c>
    </row>
    <row r="102" spans="1:10" x14ac:dyDescent="0.25">
      <c r="A102" s="38">
        <v>5</v>
      </c>
      <c r="B102" s="38" t="s">
        <v>241</v>
      </c>
      <c r="C102" s="27">
        <v>483500</v>
      </c>
      <c r="D102" s="70"/>
      <c r="E102" s="1">
        <v>0</v>
      </c>
      <c r="F102" s="1"/>
      <c r="G102" s="72"/>
      <c r="H102" s="1"/>
      <c r="I102" s="1"/>
      <c r="J102" s="70">
        <f t="shared" si="6"/>
        <v>483500</v>
      </c>
    </row>
    <row r="103" spans="1:10" x14ac:dyDescent="0.25">
      <c r="A103" s="38">
        <v>6</v>
      </c>
      <c r="B103" s="38" t="s">
        <v>309</v>
      </c>
      <c r="C103" s="27">
        <v>0</v>
      </c>
      <c r="D103" s="70">
        <v>20000</v>
      </c>
      <c r="E103" s="1"/>
      <c r="F103" s="1"/>
      <c r="G103" s="72"/>
      <c r="H103" s="1"/>
      <c r="I103" s="1"/>
      <c r="J103" s="70">
        <f t="shared" si="6"/>
        <v>20000</v>
      </c>
    </row>
    <row r="104" spans="1:10" x14ac:dyDescent="0.25">
      <c r="A104" s="1"/>
      <c r="B104" s="71" t="s">
        <v>138</v>
      </c>
      <c r="C104" s="15">
        <f>SUM(C97:C102)</f>
        <v>1758500</v>
      </c>
      <c r="D104" s="15">
        <f>SUM(D97:D103)</f>
        <v>70000</v>
      </c>
      <c r="E104" s="15">
        <f>SUM(E97:E102)</f>
        <v>0</v>
      </c>
      <c r="F104" s="15">
        <f>SUM(F97:F102)</f>
        <v>401900</v>
      </c>
      <c r="G104" s="15">
        <f>SUM(G97:G102)</f>
        <v>50000</v>
      </c>
      <c r="H104" s="15">
        <f>SUM(H97:H102)</f>
        <v>0</v>
      </c>
      <c r="I104" s="15">
        <f>SUM(I97:I102)</f>
        <v>0</v>
      </c>
      <c r="J104" s="70">
        <f>SUM(J97:J103)</f>
        <v>2280400</v>
      </c>
    </row>
    <row r="110" spans="1:10" ht="18.75" x14ac:dyDescent="0.3">
      <c r="B110" s="5" t="s">
        <v>80</v>
      </c>
    </row>
    <row r="111" spans="1:10" ht="18.75" x14ac:dyDescent="0.3">
      <c r="B111" s="5" t="s">
        <v>64</v>
      </c>
    </row>
    <row r="112" spans="1:10" ht="18.75" x14ac:dyDescent="0.3">
      <c r="B112" s="5" t="s">
        <v>279</v>
      </c>
    </row>
    <row r="113" spans="1:10" ht="18.75" x14ac:dyDescent="0.3">
      <c r="B113" s="5" t="s">
        <v>339</v>
      </c>
    </row>
    <row r="115" spans="1:10" x14ac:dyDescent="0.25">
      <c r="A115" s="3" t="s">
        <v>163</v>
      </c>
      <c r="B115" s="3" t="s">
        <v>164</v>
      </c>
      <c r="C115" s="59" t="s">
        <v>281</v>
      </c>
      <c r="D115" s="13" t="s">
        <v>280</v>
      </c>
      <c r="E115" s="13" t="s">
        <v>280</v>
      </c>
      <c r="F115" s="13" t="s">
        <v>280</v>
      </c>
      <c r="G115" s="13" t="s">
        <v>280</v>
      </c>
      <c r="H115" s="13" t="s">
        <v>280</v>
      </c>
      <c r="I115" s="13" t="s">
        <v>280</v>
      </c>
      <c r="J115" s="3" t="s">
        <v>166</v>
      </c>
    </row>
    <row r="116" spans="1:10" x14ac:dyDescent="0.25">
      <c r="A116" s="38">
        <v>1</v>
      </c>
      <c r="B116" s="1" t="s">
        <v>199</v>
      </c>
      <c r="C116" s="14">
        <v>225000</v>
      </c>
      <c r="D116" s="1">
        <v>0</v>
      </c>
      <c r="E116" s="1"/>
      <c r="F116" s="1"/>
      <c r="G116" s="70"/>
      <c r="H116" s="1"/>
      <c r="I116" s="1"/>
      <c r="J116" s="70">
        <f>C116-D116-E116-F116-G116-H116-I116</f>
        <v>225000</v>
      </c>
    </row>
    <row r="117" spans="1:10" x14ac:dyDescent="0.25">
      <c r="A117" s="38"/>
      <c r="B117" s="1" t="s">
        <v>202</v>
      </c>
      <c r="C117" s="14">
        <v>90000</v>
      </c>
      <c r="D117" s="1">
        <v>0</v>
      </c>
      <c r="E117" s="1"/>
      <c r="F117" s="1"/>
      <c r="G117" s="70"/>
      <c r="H117" s="1"/>
      <c r="I117" s="1"/>
      <c r="J117" s="70">
        <f t="shared" ref="J117:J122" si="7">C117-D117-E117-F117-G117-H117-I117</f>
        <v>90000</v>
      </c>
    </row>
    <row r="118" spans="1:10" x14ac:dyDescent="0.25">
      <c r="A118" s="38">
        <v>2</v>
      </c>
      <c r="B118" s="1" t="s">
        <v>223</v>
      </c>
      <c r="C118" s="14">
        <v>1553900</v>
      </c>
      <c r="D118" s="1">
        <v>500000</v>
      </c>
      <c r="E118" s="1">
        <v>0</v>
      </c>
      <c r="F118" s="1">
        <v>351900</v>
      </c>
      <c r="G118" s="70"/>
      <c r="H118" s="1"/>
      <c r="I118" s="1"/>
      <c r="J118" s="70">
        <f t="shared" si="7"/>
        <v>702000</v>
      </c>
    </row>
    <row r="119" spans="1:10" x14ac:dyDescent="0.25">
      <c r="A119" s="38">
        <v>3</v>
      </c>
      <c r="B119" s="1" t="s">
        <v>222</v>
      </c>
      <c r="C119" s="14">
        <v>565000</v>
      </c>
      <c r="D119" s="1">
        <v>325000</v>
      </c>
      <c r="E119" s="1"/>
      <c r="F119" s="1">
        <v>50000</v>
      </c>
      <c r="G119" s="70">
        <v>50000</v>
      </c>
      <c r="H119" s="1"/>
      <c r="I119" s="1"/>
      <c r="J119" s="70">
        <f t="shared" si="7"/>
        <v>140000</v>
      </c>
    </row>
    <row r="120" spans="1:10" x14ac:dyDescent="0.25">
      <c r="A120" s="38">
        <v>4</v>
      </c>
      <c r="B120" s="1" t="s">
        <v>231</v>
      </c>
      <c r="C120" s="14">
        <v>536000</v>
      </c>
      <c r="D120" s="1">
        <v>500000</v>
      </c>
      <c r="E120" s="1"/>
      <c r="F120" s="1"/>
      <c r="G120" s="70"/>
      <c r="H120" s="1"/>
      <c r="I120" s="1"/>
      <c r="J120" s="70">
        <f t="shared" si="7"/>
        <v>36000</v>
      </c>
    </row>
    <row r="121" spans="1:10" x14ac:dyDescent="0.25">
      <c r="A121" s="38">
        <v>5</v>
      </c>
      <c r="B121" s="38" t="s">
        <v>241</v>
      </c>
      <c r="C121" s="27">
        <v>700000</v>
      </c>
      <c r="D121" s="1">
        <v>483500</v>
      </c>
      <c r="E121" s="1"/>
      <c r="F121" s="1"/>
      <c r="G121" s="72"/>
      <c r="H121" s="1"/>
      <c r="I121" s="1"/>
      <c r="J121" s="70">
        <f t="shared" si="7"/>
        <v>216500</v>
      </c>
    </row>
    <row r="122" spans="1:10" x14ac:dyDescent="0.25">
      <c r="A122" s="38">
        <v>6</v>
      </c>
      <c r="B122" s="38" t="s">
        <v>309</v>
      </c>
      <c r="C122" s="27">
        <v>20000</v>
      </c>
      <c r="D122" s="1">
        <v>20000</v>
      </c>
      <c r="E122" s="1"/>
      <c r="F122" s="1"/>
      <c r="G122" s="72"/>
      <c r="H122" s="1"/>
      <c r="I122" s="1">
        <v>0</v>
      </c>
      <c r="J122" s="70">
        <f t="shared" si="7"/>
        <v>0</v>
      </c>
    </row>
    <row r="123" spans="1:10" x14ac:dyDescent="0.25">
      <c r="A123" s="1"/>
      <c r="B123" s="71" t="s">
        <v>138</v>
      </c>
      <c r="C123" s="15">
        <f>SUM(C116:C122)</f>
        <v>3689900</v>
      </c>
      <c r="D123" s="15">
        <f>SUM(D116:D122)</f>
        <v>1828500</v>
      </c>
      <c r="E123" s="15">
        <f>SUM(E116:E121)</f>
        <v>0</v>
      </c>
      <c r="F123" s="15">
        <f>SUM(F116:F121)</f>
        <v>401900</v>
      </c>
      <c r="G123" s="15">
        <f>SUM(G116:G121)</f>
        <v>50000</v>
      </c>
      <c r="H123" s="1">
        <f>SUM(H116:H122)</f>
        <v>0</v>
      </c>
      <c r="I123" s="1">
        <f>SUM(I116:I122)</f>
        <v>0</v>
      </c>
      <c r="J123" s="15">
        <f>SUM(J116:J122)</f>
        <v>1409500</v>
      </c>
    </row>
    <row r="144" spans="1:2" x14ac:dyDescent="0.25">
      <c r="A144" s="95"/>
      <c r="B144" s="12" t="s">
        <v>80</v>
      </c>
    </row>
    <row r="145" spans="1:10" x14ac:dyDescent="0.25">
      <c r="A145" s="95"/>
      <c r="B145" s="12" t="s">
        <v>64</v>
      </c>
    </row>
    <row r="146" spans="1:10" x14ac:dyDescent="0.25">
      <c r="A146" s="95"/>
      <c r="B146" s="12" t="s">
        <v>162</v>
      </c>
    </row>
    <row r="147" spans="1:10" x14ac:dyDescent="0.25">
      <c r="A147" s="95"/>
      <c r="B147" s="12" t="s">
        <v>340</v>
      </c>
    </row>
    <row r="148" spans="1:10" x14ac:dyDescent="0.25">
      <c r="A148" s="3" t="s">
        <v>163</v>
      </c>
      <c r="B148" s="3" t="s">
        <v>164</v>
      </c>
      <c r="C148" s="59" t="s">
        <v>312</v>
      </c>
      <c r="D148" s="53">
        <v>43101</v>
      </c>
      <c r="E148" s="53">
        <v>43132</v>
      </c>
      <c r="F148" s="53">
        <v>43160</v>
      </c>
      <c r="G148" s="53">
        <v>43191</v>
      </c>
      <c r="H148" s="53">
        <v>43221</v>
      </c>
      <c r="I148" s="53">
        <v>43252</v>
      </c>
      <c r="J148" s="3" t="s">
        <v>313</v>
      </c>
    </row>
    <row r="149" spans="1:10" x14ac:dyDescent="0.25">
      <c r="A149" s="1">
        <v>1</v>
      </c>
      <c r="B149" s="1" t="s">
        <v>167</v>
      </c>
      <c r="C149" s="27">
        <f>500000+D149+E149+F149+G149+H149+I149</f>
        <v>500000</v>
      </c>
      <c r="D149" s="27">
        <v>0</v>
      </c>
      <c r="E149" s="27">
        <v>0</v>
      </c>
      <c r="F149" s="27">
        <v>0</v>
      </c>
      <c r="G149" s="27">
        <v>0</v>
      </c>
      <c r="H149" s="1">
        <v>0</v>
      </c>
      <c r="I149" s="1">
        <v>0</v>
      </c>
      <c r="J149" s="70">
        <f>SUM(C149:I149)</f>
        <v>500000</v>
      </c>
    </row>
    <row r="150" spans="1:10" x14ac:dyDescent="0.25">
      <c r="A150" s="1">
        <v>2</v>
      </c>
      <c r="B150" s="1" t="s">
        <v>168</v>
      </c>
      <c r="C150" s="27">
        <v>522000</v>
      </c>
      <c r="D150" s="27">
        <v>0</v>
      </c>
      <c r="E150" s="27">
        <v>0</v>
      </c>
      <c r="F150" s="27">
        <v>0</v>
      </c>
      <c r="G150" s="27">
        <v>0</v>
      </c>
      <c r="H150" s="1">
        <v>0</v>
      </c>
      <c r="I150" s="1">
        <v>0</v>
      </c>
      <c r="J150" s="70">
        <f t="shared" ref="J150:J198" si="8">SUM(C150:I150)</f>
        <v>522000</v>
      </c>
    </row>
    <row r="151" spans="1:10" x14ac:dyDescent="0.25">
      <c r="A151" s="1">
        <v>3</v>
      </c>
      <c r="B151" s="1" t="s">
        <v>169</v>
      </c>
      <c r="C151" s="27">
        <v>900000</v>
      </c>
      <c r="D151" s="27">
        <v>14000</v>
      </c>
      <c r="E151" s="27">
        <v>50000</v>
      </c>
      <c r="F151" s="27">
        <v>0</v>
      </c>
      <c r="G151" s="27">
        <v>0</v>
      </c>
      <c r="H151" s="1">
        <v>20000</v>
      </c>
      <c r="I151" s="1">
        <v>20000</v>
      </c>
      <c r="J151" s="70">
        <f t="shared" si="8"/>
        <v>1004000</v>
      </c>
    </row>
    <row r="152" spans="1:10" x14ac:dyDescent="0.25">
      <c r="A152" s="1">
        <v>4</v>
      </c>
      <c r="B152" s="1" t="s">
        <v>170</v>
      </c>
      <c r="C152" s="27">
        <v>550000</v>
      </c>
      <c r="D152" s="27">
        <v>0</v>
      </c>
      <c r="E152" s="27">
        <v>0</v>
      </c>
      <c r="F152" s="27">
        <v>0</v>
      </c>
      <c r="G152" s="27">
        <v>0</v>
      </c>
      <c r="H152" s="1">
        <v>0</v>
      </c>
      <c r="I152" s="1">
        <v>0</v>
      </c>
      <c r="J152" s="70">
        <f t="shared" si="8"/>
        <v>550000</v>
      </c>
    </row>
    <row r="153" spans="1:10" x14ac:dyDescent="0.25">
      <c r="A153" s="1">
        <v>5</v>
      </c>
      <c r="B153" s="1" t="s">
        <v>171</v>
      </c>
      <c r="C153" s="27">
        <v>502000</v>
      </c>
      <c r="D153" s="27">
        <v>0</v>
      </c>
      <c r="E153" s="27">
        <v>0</v>
      </c>
      <c r="F153" s="27">
        <v>0</v>
      </c>
      <c r="G153" s="27">
        <v>0</v>
      </c>
      <c r="H153" s="1">
        <v>0</v>
      </c>
      <c r="I153" s="1">
        <v>0</v>
      </c>
      <c r="J153" s="70">
        <f t="shared" si="8"/>
        <v>502000</v>
      </c>
    </row>
    <row r="154" spans="1:10" x14ac:dyDescent="0.25">
      <c r="A154" s="1">
        <v>6</v>
      </c>
      <c r="B154" s="1" t="s">
        <v>174</v>
      </c>
      <c r="C154" s="27">
        <v>1080000</v>
      </c>
      <c r="D154" s="27">
        <v>20000</v>
      </c>
      <c r="E154" s="27">
        <v>20000</v>
      </c>
      <c r="F154" s="27">
        <v>20000</v>
      </c>
      <c r="G154" s="27">
        <v>20000</v>
      </c>
      <c r="H154" s="1">
        <v>20000</v>
      </c>
      <c r="I154" s="1">
        <v>0</v>
      </c>
      <c r="J154" s="70">
        <f t="shared" si="8"/>
        <v>1180000</v>
      </c>
    </row>
    <row r="155" spans="1:10" x14ac:dyDescent="0.25">
      <c r="A155" s="1">
        <v>7</v>
      </c>
      <c r="B155" s="1" t="s">
        <v>172</v>
      </c>
      <c r="C155" s="27">
        <v>290000</v>
      </c>
      <c r="D155" s="27">
        <v>0</v>
      </c>
      <c r="E155" s="27">
        <v>0</v>
      </c>
      <c r="F155" s="27">
        <v>0</v>
      </c>
      <c r="G155" s="27">
        <v>72000</v>
      </c>
      <c r="H155" s="1">
        <v>8000</v>
      </c>
      <c r="I155" s="1">
        <v>0</v>
      </c>
      <c r="J155" s="70">
        <f t="shared" si="8"/>
        <v>370000</v>
      </c>
    </row>
    <row r="156" spans="1:10" x14ac:dyDescent="0.25">
      <c r="A156" s="1">
        <v>8</v>
      </c>
      <c r="B156" s="1" t="s">
        <v>173</v>
      </c>
      <c r="C156" s="27">
        <v>730000</v>
      </c>
      <c r="D156" s="27">
        <v>0</v>
      </c>
      <c r="E156" s="27">
        <v>0</v>
      </c>
      <c r="F156" s="27">
        <v>0</v>
      </c>
      <c r="G156" s="27">
        <v>0</v>
      </c>
      <c r="H156" s="1">
        <v>0</v>
      </c>
      <c r="I156" s="1">
        <v>70000</v>
      </c>
      <c r="J156" s="70">
        <f t="shared" si="8"/>
        <v>800000</v>
      </c>
    </row>
    <row r="157" spans="1:10" x14ac:dyDescent="0.25">
      <c r="A157" s="78">
        <v>9</v>
      </c>
      <c r="B157" s="78" t="s">
        <v>175</v>
      </c>
      <c r="C157" s="79">
        <v>410000</v>
      </c>
      <c r="D157" s="79">
        <v>0</v>
      </c>
      <c r="E157" s="79">
        <v>0</v>
      </c>
      <c r="F157" s="79">
        <v>0</v>
      </c>
      <c r="G157" s="79">
        <v>-410000</v>
      </c>
      <c r="H157" s="78">
        <v>0</v>
      </c>
      <c r="I157" s="78">
        <v>0</v>
      </c>
      <c r="J157" s="99">
        <f t="shared" si="8"/>
        <v>0</v>
      </c>
    </row>
    <row r="158" spans="1:10" x14ac:dyDescent="0.25">
      <c r="A158" s="1">
        <v>10</v>
      </c>
      <c r="B158" s="1" t="s">
        <v>176</v>
      </c>
      <c r="C158" s="27">
        <v>455000</v>
      </c>
      <c r="D158" s="27">
        <v>50000</v>
      </c>
      <c r="E158" s="27">
        <v>20000</v>
      </c>
      <c r="F158" s="27">
        <v>0</v>
      </c>
      <c r="G158" s="27">
        <v>0</v>
      </c>
      <c r="H158" s="1">
        <v>0</v>
      </c>
      <c r="I158" s="1">
        <v>0</v>
      </c>
      <c r="J158" s="70">
        <f t="shared" si="8"/>
        <v>525000</v>
      </c>
    </row>
    <row r="159" spans="1:10" x14ac:dyDescent="0.25">
      <c r="A159" s="1">
        <v>11</v>
      </c>
      <c r="B159" s="1" t="s">
        <v>177</v>
      </c>
      <c r="C159" s="27">
        <v>530000</v>
      </c>
      <c r="D159" s="27">
        <v>0</v>
      </c>
      <c r="E159" s="27">
        <v>0</v>
      </c>
      <c r="F159" s="27">
        <v>0</v>
      </c>
      <c r="G159" s="27">
        <v>0</v>
      </c>
      <c r="H159" s="1">
        <v>0</v>
      </c>
      <c r="I159" s="1">
        <v>0</v>
      </c>
      <c r="J159" s="70">
        <f t="shared" si="8"/>
        <v>530000</v>
      </c>
    </row>
    <row r="160" spans="1:10" x14ac:dyDescent="0.25">
      <c r="A160" s="1">
        <v>12</v>
      </c>
      <c r="B160" s="1" t="s">
        <v>178</v>
      </c>
      <c r="C160" s="27">
        <v>970000</v>
      </c>
      <c r="D160" s="27">
        <v>10000</v>
      </c>
      <c r="E160" s="27">
        <v>0</v>
      </c>
      <c r="F160" s="27">
        <v>20000</v>
      </c>
      <c r="G160" s="27">
        <v>0</v>
      </c>
      <c r="H160" s="1">
        <v>0</v>
      </c>
      <c r="I160" s="1">
        <v>0</v>
      </c>
      <c r="J160" s="70">
        <f t="shared" si="8"/>
        <v>1000000</v>
      </c>
    </row>
    <row r="161" spans="1:10" x14ac:dyDescent="0.25">
      <c r="A161" s="1">
        <v>13</v>
      </c>
      <c r="B161" s="1" t="s">
        <v>179</v>
      </c>
      <c r="C161" s="27">
        <v>570000</v>
      </c>
      <c r="D161" s="27">
        <v>0</v>
      </c>
      <c r="E161" s="27">
        <v>0</v>
      </c>
      <c r="F161" s="27">
        <v>0</v>
      </c>
      <c r="G161" s="27">
        <v>0</v>
      </c>
      <c r="H161" s="1">
        <v>0</v>
      </c>
      <c r="I161" s="1">
        <v>0</v>
      </c>
      <c r="J161" s="70">
        <f t="shared" si="8"/>
        <v>570000</v>
      </c>
    </row>
    <row r="162" spans="1:10" x14ac:dyDescent="0.25">
      <c r="A162" s="1">
        <v>14</v>
      </c>
      <c r="B162" s="1" t="s">
        <v>180</v>
      </c>
      <c r="C162" s="27">
        <v>980000</v>
      </c>
      <c r="D162" s="27">
        <v>0</v>
      </c>
      <c r="E162" s="27">
        <v>120000</v>
      </c>
      <c r="F162" s="27">
        <v>0</v>
      </c>
      <c r="G162" s="27">
        <v>60000</v>
      </c>
      <c r="H162" s="1">
        <v>0</v>
      </c>
      <c r="I162" s="1">
        <v>0</v>
      </c>
      <c r="J162" s="70">
        <f t="shared" si="8"/>
        <v>1160000</v>
      </c>
    </row>
    <row r="163" spans="1:10" x14ac:dyDescent="0.25">
      <c r="A163" s="1">
        <v>15</v>
      </c>
      <c r="B163" s="1" t="s">
        <v>181</v>
      </c>
      <c r="C163" s="27">
        <v>1370000</v>
      </c>
      <c r="D163" s="27">
        <v>20000</v>
      </c>
      <c r="E163" s="27">
        <v>20000</v>
      </c>
      <c r="F163" s="27">
        <v>20000</v>
      </c>
      <c r="G163" s="27">
        <v>20000</v>
      </c>
      <c r="H163" s="1">
        <v>20000</v>
      </c>
      <c r="I163" s="1">
        <v>0</v>
      </c>
      <c r="J163" s="70">
        <f t="shared" si="8"/>
        <v>1470000</v>
      </c>
    </row>
    <row r="164" spans="1:10" x14ac:dyDescent="0.25">
      <c r="A164" s="1">
        <v>16</v>
      </c>
      <c r="B164" s="1" t="s">
        <v>182</v>
      </c>
      <c r="C164" s="27">
        <v>365000</v>
      </c>
      <c r="D164" s="27">
        <v>0</v>
      </c>
      <c r="E164" s="27">
        <v>0</v>
      </c>
      <c r="F164" s="27">
        <v>10000</v>
      </c>
      <c r="G164" s="27">
        <v>15000</v>
      </c>
      <c r="H164" s="1">
        <v>0</v>
      </c>
      <c r="I164" s="1">
        <v>0</v>
      </c>
      <c r="J164" s="70">
        <f t="shared" si="8"/>
        <v>390000</v>
      </c>
    </row>
    <row r="165" spans="1:10" x14ac:dyDescent="0.25">
      <c r="A165" s="1">
        <v>17</v>
      </c>
      <c r="B165" s="1" t="s">
        <v>183</v>
      </c>
      <c r="C165" s="27">
        <v>550000</v>
      </c>
      <c r="D165" s="27">
        <v>0</v>
      </c>
      <c r="E165" s="27">
        <v>15000</v>
      </c>
      <c r="F165" s="27">
        <v>0</v>
      </c>
      <c r="G165" s="27">
        <v>0</v>
      </c>
      <c r="H165" s="1">
        <v>0</v>
      </c>
      <c r="I165" s="1">
        <v>0</v>
      </c>
      <c r="J165" s="70">
        <f t="shared" si="8"/>
        <v>565000</v>
      </c>
    </row>
    <row r="166" spans="1:10" x14ac:dyDescent="0.25">
      <c r="A166" s="1">
        <v>18</v>
      </c>
      <c r="B166" s="1" t="s">
        <v>184</v>
      </c>
      <c r="C166" s="27">
        <v>816400</v>
      </c>
      <c r="D166" s="27">
        <v>150000</v>
      </c>
      <c r="E166" s="27">
        <v>0</v>
      </c>
      <c r="F166" s="27">
        <v>0</v>
      </c>
      <c r="G166" s="27">
        <v>0</v>
      </c>
      <c r="H166" s="1">
        <v>0</v>
      </c>
      <c r="I166" s="1">
        <v>0</v>
      </c>
      <c r="J166" s="70">
        <f t="shared" si="8"/>
        <v>966400</v>
      </c>
    </row>
    <row r="167" spans="1:10" x14ac:dyDescent="0.25">
      <c r="A167" s="1">
        <v>19</v>
      </c>
      <c r="B167" s="1" t="s">
        <v>185</v>
      </c>
      <c r="C167" s="27">
        <v>500000</v>
      </c>
      <c r="D167" s="27">
        <v>0</v>
      </c>
      <c r="E167" s="27">
        <v>0</v>
      </c>
      <c r="F167" s="27">
        <v>0</v>
      </c>
      <c r="G167" s="27">
        <v>0</v>
      </c>
      <c r="H167" s="1">
        <v>0</v>
      </c>
      <c r="I167" s="1">
        <v>0</v>
      </c>
      <c r="J167" s="70">
        <f t="shared" si="8"/>
        <v>500000</v>
      </c>
    </row>
    <row r="168" spans="1:10" x14ac:dyDescent="0.25">
      <c r="A168" s="1">
        <v>20</v>
      </c>
      <c r="B168" s="1" t="s">
        <v>186</v>
      </c>
      <c r="C168" s="27">
        <v>500000</v>
      </c>
      <c r="D168" s="27">
        <v>0</v>
      </c>
      <c r="E168" s="27">
        <v>0</v>
      </c>
      <c r="F168" s="27">
        <v>0</v>
      </c>
      <c r="G168" s="27">
        <v>0</v>
      </c>
      <c r="H168" s="1">
        <v>0</v>
      </c>
      <c r="I168" s="1">
        <v>0</v>
      </c>
      <c r="J168" s="70">
        <f t="shared" si="8"/>
        <v>500000</v>
      </c>
    </row>
    <row r="169" spans="1:10" x14ac:dyDescent="0.25">
      <c r="A169" s="1">
        <v>21</v>
      </c>
      <c r="B169" s="1" t="s">
        <v>187</v>
      </c>
      <c r="C169" s="27">
        <v>500000</v>
      </c>
      <c r="D169" s="27">
        <v>0</v>
      </c>
      <c r="E169" s="27">
        <v>0</v>
      </c>
      <c r="F169" s="27">
        <v>0</v>
      </c>
      <c r="G169" s="27">
        <v>0</v>
      </c>
      <c r="H169" s="1">
        <v>0</v>
      </c>
      <c r="I169" s="1">
        <v>0</v>
      </c>
      <c r="J169" s="70">
        <f t="shared" si="8"/>
        <v>500000</v>
      </c>
    </row>
    <row r="170" spans="1:10" x14ac:dyDescent="0.25">
      <c r="A170" s="1">
        <v>22</v>
      </c>
      <c r="B170" s="1" t="s">
        <v>188</v>
      </c>
      <c r="C170" s="27">
        <v>450000</v>
      </c>
      <c r="D170" s="27">
        <v>0</v>
      </c>
      <c r="E170" s="27">
        <v>100000</v>
      </c>
      <c r="F170" s="27">
        <v>0</v>
      </c>
      <c r="G170" s="27">
        <v>0</v>
      </c>
      <c r="H170" s="1">
        <v>0</v>
      </c>
      <c r="I170" s="1">
        <v>0</v>
      </c>
      <c r="J170" s="70">
        <f t="shared" si="8"/>
        <v>550000</v>
      </c>
    </row>
    <row r="171" spans="1:10" x14ac:dyDescent="0.25">
      <c r="A171" s="1">
        <v>23</v>
      </c>
      <c r="B171" s="1" t="s">
        <v>189</v>
      </c>
      <c r="C171" s="27">
        <v>415000</v>
      </c>
      <c r="D171" s="27">
        <v>0</v>
      </c>
      <c r="E171" s="27">
        <v>0</v>
      </c>
      <c r="F171" s="27">
        <v>0</v>
      </c>
      <c r="G171" s="27">
        <v>0</v>
      </c>
      <c r="H171" s="1">
        <v>0</v>
      </c>
      <c r="I171" s="1">
        <v>0</v>
      </c>
      <c r="J171" s="70">
        <f t="shared" si="8"/>
        <v>415000</v>
      </c>
    </row>
    <row r="172" spans="1:10" x14ac:dyDescent="0.25">
      <c r="A172" s="1">
        <v>24</v>
      </c>
      <c r="B172" s="1" t="s">
        <v>190</v>
      </c>
      <c r="C172" s="27">
        <v>600000</v>
      </c>
      <c r="D172" s="27">
        <v>0</v>
      </c>
      <c r="E172" s="27">
        <v>0</v>
      </c>
      <c r="F172" s="27">
        <v>0</v>
      </c>
      <c r="G172" s="27">
        <v>0</v>
      </c>
      <c r="H172" s="1">
        <v>0</v>
      </c>
      <c r="I172" s="1">
        <v>0</v>
      </c>
      <c r="J172" s="70">
        <f t="shared" si="8"/>
        <v>600000</v>
      </c>
    </row>
    <row r="173" spans="1:10" x14ac:dyDescent="0.25">
      <c r="A173" s="1">
        <v>25</v>
      </c>
      <c r="B173" s="1" t="s">
        <v>191</v>
      </c>
      <c r="C173" s="27">
        <v>679000</v>
      </c>
      <c r="D173" s="27">
        <v>0</v>
      </c>
      <c r="E173" s="27">
        <v>0</v>
      </c>
      <c r="F173" s="27">
        <v>0</v>
      </c>
      <c r="G173" s="27">
        <v>0</v>
      </c>
      <c r="H173" s="1">
        <v>0</v>
      </c>
      <c r="I173" s="1">
        <v>0</v>
      </c>
      <c r="J173" s="70">
        <f t="shared" si="8"/>
        <v>679000</v>
      </c>
    </row>
    <row r="174" spans="1:10" x14ac:dyDescent="0.25">
      <c r="A174" s="1">
        <v>26</v>
      </c>
      <c r="B174" s="1" t="s">
        <v>192</v>
      </c>
      <c r="C174" s="27">
        <v>420000</v>
      </c>
      <c r="D174" s="27">
        <v>0</v>
      </c>
      <c r="E174" s="27">
        <v>0</v>
      </c>
      <c r="F174" s="27">
        <v>0</v>
      </c>
      <c r="G174" s="27">
        <v>50000</v>
      </c>
      <c r="H174" s="1">
        <v>0</v>
      </c>
      <c r="I174" s="1">
        <v>0</v>
      </c>
      <c r="J174" s="70">
        <f t="shared" si="8"/>
        <v>470000</v>
      </c>
    </row>
    <row r="175" spans="1:10" x14ac:dyDescent="0.25">
      <c r="A175" s="1">
        <v>27</v>
      </c>
      <c r="B175" s="1" t="s">
        <v>193</v>
      </c>
      <c r="C175" s="27">
        <v>1480000</v>
      </c>
      <c r="D175" s="27">
        <v>0</v>
      </c>
      <c r="E175" s="27">
        <v>120000</v>
      </c>
      <c r="F175" s="27">
        <v>0</v>
      </c>
      <c r="G175" s="27">
        <v>60000</v>
      </c>
      <c r="H175" s="1">
        <v>0</v>
      </c>
      <c r="I175" s="1">
        <v>0</v>
      </c>
      <c r="J175" s="70">
        <f t="shared" si="8"/>
        <v>1660000</v>
      </c>
    </row>
    <row r="176" spans="1:10" x14ac:dyDescent="0.25">
      <c r="A176" s="1">
        <v>28</v>
      </c>
      <c r="B176" s="1" t="s">
        <v>195</v>
      </c>
      <c r="C176" s="27">
        <v>1695000</v>
      </c>
      <c r="D176" s="27">
        <v>50000</v>
      </c>
      <c r="E176" s="27">
        <v>0</v>
      </c>
      <c r="F176" s="27">
        <v>50000</v>
      </c>
      <c r="G176" s="27">
        <v>0</v>
      </c>
      <c r="H176" s="1">
        <v>0</v>
      </c>
      <c r="I176" s="1">
        <v>100000</v>
      </c>
      <c r="J176" s="70">
        <f t="shared" si="8"/>
        <v>1895000</v>
      </c>
    </row>
    <row r="177" spans="1:10" x14ac:dyDescent="0.25">
      <c r="A177" s="1">
        <v>29</v>
      </c>
      <c r="B177" s="1" t="s">
        <v>196</v>
      </c>
      <c r="C177" s="27">
        <v>100000</v>
      </c>
      <c r="D177" s="27">
        <v>0</v>
      </c>
      <c r="E177" s="27">
        <v>0</v>
      </c>
      <c r="F177" s="27">
        <v>20000</v>
      </c>
      <c r="G177" s="27">
        <v>0</v>
      </c>
      <c r="H177" s="1">
        <v>0</v>
      </c>
      <c r="I177" s="1">
        <v>0</v>
      </c>
      <c r="J177" s="70">
        <f t="shared" si="8"/>
        <v>120000</v>
      </c>
    </row>
    <row r="178" spans="1:10" x14ac:dyDescent="0.25">
      <c r="A178" s="1">
        <v>30</v>
      </c>
      <c r="B178" s="1" t="s">
        <v>197</v>
      </c>
      <c r="C178" s="27">
        <v>620000</v>
      </c>
      <c r="D178" s="27">
        <v>0</v>
      </c>
      <c r="E178" s="27">
        <v>0</v>
      </c>
      <c r="F178" s="27">
        <v>50000</v>
      </c>
      <c r="G178" s="27">
        <v>0</v>
      </c>
      <c r="H178" s="1">
        <v>0</v>
      </c>
      <c r="I178" s="1">
        <v>0</v>
      </c>
      <c r="J178" s="70">
        <f t="shared" si="8"/>
        <v>670000</v>
      </c>
    </row>
    <row r="179" spans="1:10" x14ac:dyDescent="0.25">
      <c r="A179" s="38">
        <v>31</v>
      </c>
      <c r="B179" s="1" t="s">
        <v>308</v>
      </c>
      <c r="C179" s="27">
        <v>475000</v>
      </c>
      <c r="D179" s="27">
        <v>0</v>
      </c>
      <c r="E179" s="27">
        <v>0</v>
      </c>
      <c r="F179" s="27">
        <v>0</v>
      </c>
      <c r="G179" s="27">
        <v>0</v>
      </c>
      <c r="H179" s="1">
        <v>10000</v>
      </c>
      <c r="I179" s="1">
        <v>0</v>
      </c>
      <c r="J179" s="70">
        <f t="shared" si="8"/>
        <v>485000</v>
      </c>
    </row>
    <row r="180" spans="1:10" x14ac:dyDescent="0.25">
      <c r="A180" s="100">
        <v>32</v>
      </c>
      <c r="B180" s="100" t="s">
        <v>238</v>
      </c>
      <c r="C180" s="79">
        <v>0</v>
      </c>
      <c r="D180" s="79">
        <v>0</v>
      </c>
      <c r="E180" s="79">
        <v>0</v>
      </c>
      <c r="F180" s="79">
        <v>0</v>
      </c>
      <c r="G180" s="79">
        <v>0</v>
      </c>
      <c r="H180" s="78">
        <v>0</v>
      </c>
      <c r="I180" s="78">
        <v>0</v>
      </c>
      <c r="J180" s="99">
        <f t="shared" si="8"/>
        <v>0</v>
      </c>
    </row>
    <row r="181" spans="1:10" x14ac:dyDescent="0.25">
      <c r="A181" s="38">
        <v>33</v>
      </c>
      <c r="B181" s="1" t="s">
        <v>201</v>
      </c>
      <c r="C181" s="27">
        <v>600000</v>
      </c>
      <c r="D181" s="27">
        <v>0</v>
      </c>
      <c r="E181" s="27">
        <v>0</v>
      </c>
      <c r="F181" s="27">
        <v>100000</v>
      </c>
      <c r="G181" s="27">
        <v>0</v>
      </c>
      <c r="H181" s="1">
        <v>0</v>
      </c>
      <c r="I181" s="1">
        <v>0</v>
      </c>
      <c r="J181" s="70">
        <f t="shared" si="8"/>
        <v>700000</v>
      </c>
    </row>
    <row r="182" spans="1:10" x14ac:dyDescent="0.25">
      <c r="A182" s="38">
        <v>34</v>
      </c>
      <c r="B182" s="1" t="s">
        <v>204</v>
      </c>
      <c r="C182" s="27">
        <v>820058</v>
      </c>
      <c r="D182" s="27">
        <v>0</v>
      </c>
      <c r="E182" s="27">
        <v>0</v>
      </c>
      <c r="F182" s="27">
        <v>0</v>
      </c>
      <c r="G182" s="27">
        <v>0</v>
      </c>
      <c r="H182" s="1">
        <v>0</v>
      </c>
      <c r="I182" s="1">
        <v>0</v>
      </c>
      <c r="J182" s="70">
        <f t="shared" si="8"/>
        <v>820058</v>
      </c>
    </row>
    <row r="183" spans="1:10" x14ac:dyDescent="0.25">
      <c r="A183" s="38">
        <v>35</v>
      </c>
      <c r="B183" s="1" t="s">
        <v>205</v>
      </c>
      <c r="C183" s="27">
        <v>500000</v>
      </c>
      <c r="D183" s="27">
        <v>0</v>
      </c>
      <c r="E183" s="27">
        <v>0</v>
      </c>
      <c r="F183" s="27">
        <v>0</v>
      </c>
      <c r="G183" s="27">
        <v>100000</v>
      </c>
      <c r="H183" s="1">
        <v>0</v>
      </c>
      <c r="I183" s="1">
        <v>0</v>
      </c>
      <c r="J183" s="70">
        <f t="shared" si="8"/>
        <v>600000</v>
      </c>
    </row>
    <row r="184" spans="1:10" x14ac:dyDescent="0.25">
      <c r="A184" s="38">
        <v>36</v>
      </c>
      <c r="B184" s="1" t="s">
        <v>208</v>
      </c>
      <c r="C184" s="14">
        <v>890000</v>
      </c>
      <c r="D184" s="14">
        <v>20000</v>
      </c>
      <c r="E184" s="14">
        <v>40000</v>
      </c>
      <c r="F184" s="14">
        <v>0</v>
      </c>
      <c r="G184" s="14">
        <v>200000</v>
      </c>
      <c r="H184" s="1">
        <v>0</v>
      </c>
      <c r="I184" s="1">
        <v>80000</v>
      </c>
      <c r="J184" s="70">
        <f t="shared" si="8"/>
        <v>1230000</v>
      </c>
    </row>
    <row r="185" spans="1:10" x14ac:dyDescent="0.25">
      <c r="A185" s="38">
        <v>37</v>
      </c>
      <c r="B185" s="1" t="s">
        <v>230</v>
      </c>
      <c r="C185" s="14">
        <v>550000</v>
      </c>
      <c r="D185" s="14">
        <v>0</v>
      </c>
      <c r="E185" s="14">
        <v>0</v>
      </c>
      <c r="F185" s="14">
        <v>0</v>
      </c>
      <c r="G185" s="14">
        <v>0</v>
      </c>
      <c r="H185" s="1">
        <v>0</v>
      </c>
      <c r="I185" s="1">
        <v>50000</v>
      </c>
      <c r="J185" s="70">
        <f t="shared" si="8"/>
        <v>600000</v>
      </c>
    </row>
    <row r="186" spans="1:10" x14ac:dyDescent="0.25">
      <c r="A186" s="38">
        <v>38</v>
      </c>
      <c r="B186" s="38" t="s">
        <v>236</v>
      </c>
      <c r="C186" s="14">
        <v>660000</v>
      </c>
      <c r="D186" s="14">
        <v>10000</v>
      </c>
      <c r="E186" s="14">
        <v>10000</v>
      </c>
      <c r="F186" s="14">
        <v>10000</v>
      </c>
      <c r="G186" s="14">
        <v>10000</v>
      </c>
      <c r="H186" s="1">
        <v>10000</v>
      </c>
      <c r="I186" s="1">
        <v>0</v>
      </c>
      <c r="J186" s="70">
        <f t="shared" si="8"/>
        <v>710000</v>
      </c>
    </row>
    <row r="187" spans="1:10" x14ac:dyDescent="0.25">
      <c r="A187" s="38">
        <v>39</v>
      </c>
      <c r="B187" s="38" t="s">
        <v>285</v>
      </c>
      <c r="C187" s="14">
        <v>500000</v>
      </c>
      <c r="D187" s="14">
        <v>0</v>
      </c>
      <c r="E187" s="14">
        <v>0</v>
      </c>
      <c r="F187" s="14">
        <v>0</v>
      </c>
      <c r="G187" s="14">
        <v>0</v>
      </c>
      <c r="H187" s="1">
        <v>0</v>
      </c>
      <c r="I187" s="1">
        <v>0</v>
      </c>
      <c r="J187" s="70">
        <f t="shared" si="8"/>
        <v>500000</v>
      </c>
    </row>
    <row r="188" spans="1:10" x14ac:dyDescent="0.25">
      <c r="A188" s="38">
        <v>40</v>
      </c>
      <c r="B188" s="1" t="s">
        <v>286</v>
      </c>
      <c r="C188" s="14">
        <v>660000</v>
      </c>
      <c r="D188" s="14">
        <v>40000</v>
      </c>
      <c r="E188" s="14">
        <v>80000</v>
      </c>
      <c r="F188" s="14">
        <v>0</v>
      </c>
      <c r="G188" s="14">
        <v>120000</v>
      </c>
      <c r="H188" s="1">
        <v>100000</v>
      </c>
      <c r="I188" s="1">
        <v>0</v>
      </c>
      <c r="J188" s="70">
        <f t="shared" si="8"/>
        <v>1000000</v>
      </c>
    </row>
    <row r="189" spans="1:10" x14ac:dyDescent="0.25">
      <c r="A189" s="38">
        <v>41</v>
      </c>
      <c r="B189" s="1" t="s">
        <v>287</v>
      </c>
      <c r="C189" s="14">
        <v>120000</v>
      </c>
      <c r="D189" s="14">
        <v>0</v>
      </c>
      <c r="E189" s="14">
        <v>0</v>
      </c>
      <c r="F189" s="14">
        <v>0</v>
      </c>
      <c r="G189" s="14">
        <v>0</v>
      </c>
      <c r="H189" s="1">
        <v>0</v>
      </c>
      <c r="I189" s="1">
        <v>0</v>
      </c>
      <c r="J189" s="70">
        <f t="shared" si="8"/>
        <v>120000</v>
      </c>
    </row>
    <row r="190" spans="1:10" x14ac:dyDescent="0.25">
      <c r="A190" s="38">
        <v>42</v>
      </c>
      <c r="B190" s="1" t="s">
        <v>288</v>
      </c>
      <c r="C190" s="14">
        <v>321000</v>
      </c>
      <c r="D190" s="14">
        <v>0</v>
      </c>
      <c r="E190" s="14">
        <v>0</v>
      </c>
      <c r="F190" s="14">
        <v>25000</v>
      </c>
      <c r="G190" s="14">
        <v>0</v>
      </c>
      <c r="H190" s="1">
        <v>22000</v>
      </c>
      <c r="I190" s="1">
        <v>0</v>
      </c>
      <c r="J190" s="70">
        <f t="shared" si="8"/>
        <v>368000</v>
      </c>
    </row>
    <row r="191" spans="1:10" x14ac:dyDescent="0.25">
      <c r="A191" s="75">
        <v>43</v>
      </c>
      <c r="B191" s="92" t="s">
        <v>289</v>
      </c>
      <c r="C191" s="93">
        <v>300000</v>
      </c>
      <c r="D191" s="93">
        <v>0</v>
      </c>
      <c r="E191" s="93">
        <v>0</v>
      </c>
      <c r="F191" s="93">
        <v>50000</v>
      </c>
      <c r="G191" s="93">
        <v>0</v>
      </c>
      <c r="H191" s="1">
        <v>50000</v>
      </c>
      <c r="I191" s="1">
        <v>0</v>
      </c>
      <c r="J191" s="70">
        <f t="shared" si="8"/>
        <v>400000</v>
      </c>
    </row>
    <row r="192" spans="1:10" x14ac:dyDescent="0.25">
      <c r="A192" s="100">
        <v>44</v>
      </c>
      <c r="B192" s="78" t="s">
        <v>294</v>
      </c>
      <c r="C192" s="77">
        <v>500000</v>
      </c>
      <c r="D192" s="77">
        <v>-500000</v>
      </c>
      <c r="E192" s="77">
        <v>0</v>
      </c>
      <c r="F192" s="77">
        <v>0</v>
      </c>
      <c r="G192" s="77">
        <v>0</v>
      </c>
      <c r="H192" s="78">
        <v>0</v>
      </c>
      <c r="I192" s="78">
        <v>0</v>
      </c>
      <c r="J192" s="99">
        <f t="shared" si="8"/>
        <v>0</v>
      </c>
    </row>
    <row r="193" spans="1:10" x14ac:dyDescent="0.25">
      <c r="A193" s="38">
        <v>45</v>
      </c>
      <c r="B193" s="1" t="s">
        <v>303</v>
      </c>
      <c r="C193" s="14">
        <v>100000</v>
      </c>
      <c r="D193" s="1">
        <v>0</v>
      </c>
      <c r="E193" s="1">
        <v>0</v>
      </c>
      <c r="F193" s="1">
        <v>0</v>
      </c>
      <c r="G193" s="14">
        <v>0</v>
      </c>
      <c r="H193" s="1">
        <v>0</v>
      </c>
      <c r="I193" s="1">
        <v>0</v>
      </c>
      <c r="J193" s="70">
        <f t="shared" si="8"/>
        <v>100000</v>
      </c>
    </row>
    <row r="194" spans="1:10" x14ac:dyDescent="0.25">
      <c r="A194" s="38">
        <v>46</v>
      </c>
      <c r="B194" s="1" t="s">
        <v>315</v>
      </c>
      <c r="C194" s="14">
        <v>0</v>
      </c>
      <c r="D194" s="1">
        <v>1900000</v>
      </c>
      <c r="E194" s="1">
        <v>0</v>
      </c>
      <c r="F194" s="1">
        <v>0</v>
      </c>
      <c r="G194" s="14">
        <v>0</v>
      </c>
      <c r="H194" s="1">
        <v>0</v>
      </c>
      <c r="I194" s="1">
        <v>0</v>
      </c>
      <c r="J194" s="70">
        <f t="shared" si="8"/>
        <v>1900000</v>
      </c>
    </row>
    <row r="195" spans="1:10" x14ac:dyDescent="0.25">
      <c r="A195" s="38">
        <v>47</v>
      </c>
      <c r="B195" s="1" t="s">
        <v>316</v>
      </c>
      <c r="C195" s="14">
        <v>0</v>
      </c>
      <c r="D195" s="1">
        <v>0</v>
      </c>
      <c r="E195" s="1">
        <v>100000</v>
      </c>
      <c r="F195" s="1">
        <v>200000</v>
      </c>
      <c r="G195" s="14">
        <v>100000</v>
      </c>
      <c r="H195" s="1">
        <v>200000</v>
      </c>
      <c r="I195" s="1">
        <v>0</v>
      </c>
      <c r="J195" s="70">
        <f t="shared" si="8"/>
        <v>600000</v>
      </c>
    </row>
    <row r="196" spans="1:10" x14ac:dyDescent="0.25">
      <c r="A196" s="38">
        <v>48</v>
      </c>
      <c r="B196" s="1" t="s">
        <v>338</v>
      </c>
      <c r="C196" s="14">
        <v>0</v>
      </c>
      <c r="D196" s="1">
        <v>0</v>
      </c>
      <c r="E196" s="1">
        <v>0</v>
      </c>
      <c r="F196" s="1">
        <v>0</v>
      </c>
      <c r="G196" s="14">
        <v>2000000</v>
      </c>
      <c r="H196" s="1">
        <v>300000</v>
      </c>
      <c r="I196" s="1">
        <v>0</v>
      </c>
      <c r="J196" s="70">
        <f t="shared" si="8"/>
        <v>2300000</v>
      </c>
    </row>
    <row r="197" spans="1:10" x14ac:dyDescent="0.25">
      <c r="A197" s="38"/>
      <c r="B197" s="1"/>
      <c r="C197" s="14"/>
      <c r="D197" s="1"/>
      <c r="E197" s="1"/>
      <c r="F197" s="1"/>
      <c r="G197" s="14"/>
      <c r="H197" s="1"/>
      <c r="I197" s="1"/>
      <c r="J197" s="70">
        <f t="shared" si="8"/>
        <v>0</v>
      </c>
    </row>
    <row r="198" spans="1:10" x14ac:dyDescent="0.25">
      <c r="A198" s="38"/>
      <c r="B198" s="1"/>
      <c r="C198" s="14"/>
      <c r="D198" s="1"/>
      <c r="E198" s="1"/>
      <c r="F198" s="1"/>
      <c r="G198" s="14"/>
      <c r="H198" s="1"/>
      <c r="I198" s="1"/>
      <c r="J198" s="70">
        <f t="shared" si="8"/>
        <v>0</v>
      </c>
    </row>
    <row r="199" spans="1:10" x14ac:dyDescent="0.25">
      <c r="A199" s="1"/>
      <c r="B199" s="58" t="s">
        <v>138</v>
      </c>
      <c r="C199" s="15">
        <f t="shared" ref="C199:I199" si="9">SUM(C149:C198)</f>
        <v>27045458</v>
      </c>
      <c r="D199" s="15">
        <f t="shared" si="9"/>
        <v>1784000</v>
      </c>
      <c r="E199" s="15">
        <f t="shared" si="9"/>
        <v>695000</v>
      </c>
      <c r="F199" s="15">
        <f t="shared" si="9"/>
        <v>575000</v>
      </c>
      <c r="G199" s="15">
        <f t="shared" si="9"/>
        <v>2417000</v>
      </c>
      <c r="H199" s="15">
        <f>SUM(H150:H198)</f>
        <v>760000</v>
      </c>
      <c r="I199" s="15">
        <f t="shared" si="9"/>
        <v>320000</v>
      </c>
      <c r="J199" s="15">
        <f>SUM(J149:J198)</f>
        <v>33596458</v>
      </c>
    </row>
    <row r="202" spans="1:10" x14ac:dyDescent="0.25">
      <c r="E202" s="26"/>
    </row>
    <row r="216" spans="1:3" ht="18.75" x14ac:dyDescent="0.3">
      <c r="B216" s="5" t="s">
        <v>80</v>
      </c>
    </row>
    <row r="217" spans="1:3" ht="18.75" x14ac:dyDescent="0.3">
      <c r="B217" s="5" t="s">
        <v>64</v>
      </c>
    </row>
    <row r="218" spans="1:3" ht="18.75" x14ac:dyDescent="0.3">
      <c r="B218" s="5" t="s">
        <v>243</v>
      </c>
    </row>
    <row r="219" spans="1:3" ht="18.75" x14ac:dyDescent="0.3">
      <c r="B219" s="5" t="s">
        <v>339</v>
      </c>
    </row>
    <row r="221" spans="1:3" x14ac:dyDescent="0.25">
      <c r="A221" s="3" t="s">
        <v>244</v>
      </c>
      <c r="B221" s="3" t="s">
        <v>245</v>
      </c>
      <c r="C221" s="96" t="s">
        <v>249</v>
      </c>
    </row>
    <row r="222" spans="1:3" x14ac:dyDescent="0.25">
      <c r="A222" s="1"/>
      <c r="B222" s="66" t="s">
        <v>22</v>
      </c>
      <c r="C222" s="97">
        <v>19400000</v>
      </c>
    </row>
    <row r="223" spans="1:3" x14ac:dyDescent="0.25">
      <c r="A223" s="1"/>
      <c r="B223" s="66" t="s">
        <v>246</v>
      </c>
      <c r="C223" s="97">
        <v>33596458</v>
      </c>
    </row>
    <row r="224" spans="1:3" x14ac:dyDescent="0.25">
      <c r="A224" s="1"/>
      <c r="B224" s="66" t="s">
        <v>247</v>
      </c>
      <c r="C224" s="98">
        <v>1409500</v>
      </c>
    </row>
    <row r="225" spans="1:9" x14ac:dyDescent="0.25">
      <c r="A225" s="1"/>
      <c r="B225" s="1" t="s">
        <v>255</v>
      </c>
      <c r="C225" s="88">
        <v>347028</v>
      </c>
    </row>
    <row r="226" spans="1:9" ht="18.75" x14ac:dyDescent="0.3">
      <c r="A226" s="1"/>
      <c r="B226" s="73" t="s">
        <v>248</v>
      </c>
      <c r="C226" s="89">
        <f>SUM(C222:C225)</f>
        <v>54752986</v>
      </c>
    </row>
    <row r="227" spans="1:9" ht="18.75" x14ac:dyDescent="0.3">
      <c r="B227" s="5"/>
      <c r="C227" s="26"/>
    </row>
    <row r="228" spans="1:9" ht="18.75" x14ac:dyDescent="0.3">
      <c r="A228" s="3" t="s">
        <v>250</v>
      </c>
      <c r="B228" s="73" t="s">
        <v>251</v>
      </c>
      <c r="C228" s="96" t="s">
        <v>249</v>
      </c>
    </row>
    <row r="229" spans="1:9" x14ac:dyDescent="0.25">
      <c r="A229" s="1"/>
      <c r="B229" s="66" t="s">
        <v>252</v>
      </c>
      <c r="C229" s="87">
        <v>20000000</v>
      </c>
    </row>
    <row r="230" spans="1:9" x14ac:dyDescent="0.25">
      <c r="A230" s="1"/>
      <c r="B230" s="66" t="s">
        <v>253</v>
      </c>
      <c r="C230" s="88">
        <v>30399457</v>
      </c>
    </row>
    <row r="231" spans="1:9" x14ac:dyDescent="0.25">
      <c r="A231" s="1"/>
      <c r="B231" s="66" t="s">
        <v>254</v>
      </c>
      <c r="C231" s="88">
        <v>395274</v>
      </c>
    </row>
    <row r="232" spans="1:9" x14ac:dyDescent="0.25">
      <c r="A232" s="1"/>
      <c r="B232" s="1" t="s">
        <v>296</v>
      </c>
      <c r="C232" s="88">
        <v>3000000</v>
      </c>
    </row>
    <row r="233" spans="1:9" x14ac:dyDescent="0.25">
      <c r="A233" s="1"/>
      <c r="B233" s="1" t="s">
        <v>290</v>
      </c>
      <c r="C233" s="88">
        <v>8819</v>
      </c>
    </row>
    <row r="234" spans="1:9" x14ac:dyDescent="0.25">
      <c r="A234" s="1"/>
      <c r="B234" s="1" t="s">
        <v>310</v>
      </c>
      <c r="C234" s="88">
        <v>0</v>
      </c>
    </row>
    <row r="235" spans="1:9" x14ac:dyDescent="0.25">
      <c r="A235" s="1"/>
      <c r="B235" s="1" t="s">
        <v>297</v>
      </c>
      <c r="C235" s="88">
        <v>949436.3</v>
      </c>
      <c r="I235" s="101"/>
    </row>
    <row r="236" spans="1:9" ht="18.75" x14ac:dyDescent="0.3">
      <c r="A236" s="1"/>
      <c r="B236" s="73" t="s">
        <v>248</v>
      </c>
      <c r="C236" s="89">
        <f>SUM(C229:C235)</f>
        <v>54752986.299999997</v>
      </c>
    </row>
    <row r="238" spans="1:9" ht="15.75" thickBot="1" x14ac:dyDescent="0.3"/>
    <row r="239" spans="1:9" x14ac:dyDescent="0.25">
      <c r="B239" s="31" t="s">
        <v>343</v>
      </c>
      <c r="C239" s="102"/>
      <c r="D239" s="102"/>
      <c r="E239" s="108">
        <v>20000000</v>
      </c>
    </row>
    <row r="240" spans="1:9" x14ac:dyDescent="0.25">
      <c r="B240" s="103" t="s">
        <v>341</v>
      </c>
      <c r="C240" s="22"/>
      <c r="D240" s="22"/>
      <c r="E240" s="109">
        <v>500000</v>
      </c>
    </row>
    <row r="241" spans="1:5" ht="15.75" thickBot="1" x14ac:dyDescent="0.3">
      <c r="B241" s="106" t="s">
        <v>342</v>
      </c>
      <c r="C241" s="107"/>
      <c r="D241" s="107"/>
      <c r="E241" s="110">
        <v>100000</v>
      </c>
    </row>
    <row r="242" spans="1:5" ht="15.75" thickBot="1" x14ac:dyDescent="0.3">
      <c r="A242" s="22"/>
      <c r="B242" s="104" t="s">
        <v>344</v>
      </c>
      <c r="C242" s="105"/>
      <c r="D242" s="105"/>
      <c r="E242" s="111">
        <v>19400000</v>
      </c>
    </row>
    <row r="254" spans="1:5" ht="18.75" x14ac:dyDescent="0.3">
      <c r="B254" s="5" t="s">
        <v>80</v>
      </c>
    </row>
    <row r="255" spans="1:5" ht="18.75" x14ac:dyDescent="0.3">
      <c r="B255" s="5" t="s">
        <v>64</v>
      </c>
    </row>
    <row r="256" spans="1:5" x14ac:dyDescent="0.25">
      <c r="B256" t="s">
        <v>317</v>
      </c>
    </row>
    <row r="257" spans="1:6" ht="15.75" x14ac:dyDescent="0.25">
      <c r="A257" s="9" t="s">
        <v>156</v>
      </c>
      <c r="B257" s="8" t="s">
        <v>139</v>
      </c>
      <c r="C257" s="9" t="s">
        <v>140</v>
      </c>
      <c r="D257" s="9" t="s">
        <v>152</v>
      </c>
      <c r="E257" s="9" t="s">
        <v>141</v>
      </c>
      <c r="F257" s="9" t="s">
        <v>142</v>
      </c>
    </row>
    <row r="258" spans="1:6" ht="15.75" x14ac:dyDescent="0.25">
      <c r="A258" s="9"/>
      <c r="B258" s="8" t="s">
        <v>318</v>
      </c>
      <c r="C258" s="56">
        <v>77830</v>
      </c>
      <c r="D258" s="56">
        <v>241750</v>
      </c>
      <c r="E258" s="56">
        <v>13460</v>
      </c>
      <c r="F258" s="56">
        <v>46795</v>
      </c>
    </row>
    <row r="259" spans="1:6" ht="15.75" x14ac:dyDescent="0.25">
      <c r="A259" s="9">
        <v>1</v>
      </c>
      <c r="B259" s="9" t="s">
        <v>319</v>
      </c>
      <c r="C259" s="56">
        <v>0</v>
      </c>
      <c r="D259" s="56">
        <v>0</v>
      </c>
      <c r="E259" s="56">
        <v>0</v>
      </c>
      <c r="F259" s="56">
        <v>410</v>
      </c>
    </row>
    <row r="260" spans="1:6" ht="15.75" x14ac:dyDescent="0.25">
      <c r="A260" s="9">
        <v>2</v>
      </c>
      <c r="B260" s="9" t="s">
        <v>320</v>
      </c>
      <c r="C260" s="56">
        <v>0</v>
      </c>
      <c r="D260" s="56">
        <v>0</v>
      </c>
      <c r="E260" s="56">
        <v>0</v>
      </c>
      <c r="F260" s="56">
        <v>10</v>
      </c>
    </row>
    <row r="261" spans="1:6" ht="15.75" x14ac:dyDescent="0.25">
      <c r="A261" s="9">
        <v>3</v>
      </c>
      <c r="B261" s="9" t="s">
        <v>321</v>
      </c>
      <c r="C261" s="56">
        <v>0</v>
      </c>
      <c r="D261" s="56">
        <v>0</v>
      </c>
      <c r="E261" s="56">
        <v>0</v>
      </c>
      <c r="F261" s="56">
        <v>0</v>
      </c>
    </row>
    <row r="262" spans="1:6" ht="15.75" x14ac:dyDescent="0.25">
      <c r="A262" s="9">
        <v>4</v>
      </c>
      <c r="B262" s="9" t="s">
        <v>322</v>
      </c>
      <c r="C262" s="56">
        <v>0</v>
      </c>
      <c r="D262" s="56">
        <v>49652.5</v>
      </c>
      <c r="E262" s="56">
        <v>0</v>
      </c>
      <c r="F262" s="56">
        <v>182.5</v>
      </c>
    </row>
    <row r="263" spans="1:6" ht="15.75" x14ac:dyDescent="0.25">
      <c r="A263" s="9">
        <v>5</v>
      </c>
      <c r="B263" s="9" t="s">
        <v>323</v>
      </c>
      <c r="C263" s="56">
        <v>0</v>
      </c>
      <c r="D263" s="56">
        <v>0</v>
      </c>
      <c r="E263" s="56">
        <v>0</v>
      </c>
      <c r="F263" s="56">
        <v>0</v>
      </c>
    </row>
    <row r="264" spans="1:6" ht="15.75" x14ac:dyDescent="0.25">
      <c r="A264" s="8">
        <v>6</v>
      </c>
      <c r="B264" s="8" t="s">
        <v>324</v>
      </c>
      <c r="C264" s="57">
        <v>16087</v>
      </c>
      <c r="D264" s="57">
        <v>0</v>
      </c>
      <c r="E264" s="57">
        <v>0</v>
      </c>
      <c r="F264" s="57">
        <v>4353.7</v>
      </c>
    </row>
    <row r="265" spans="1:6" ht="15.75" x14ac:dyDescent="0.25">
      <c r="A265" s="9">
        <v>7</v>
      </c>
      <c r="B265" s="9" t="s">
        <v>330</v>
      </c>
      <c r="C265" s="56"/>
      <c r="D265" s="56"/>
      <c r="E265" s="56"/>
      <c r="F265" s="56"/>
    </row>
    <row r="266" spans="1:6" ht="15.75" x14ac:dyDescent="0.25">
      <c r="A266" s="9">
        <v>8</v>
      </c>
      <c r="B266" s="9" t="s">
        <v>325</v>
      </c>
      <c r="C266" s="56"/>
      <c r="D266" s="56"/>
      <c r="E266" s="56"/>
      <c r="F266" s="56"/>
    </row>
    <row r="267" spans="1:6" ht="15.75" x14ac:dyDescent="0.25">
      <c r="A267" s="9">
        <v>9</v>
      </c>
      <c r="B267" s="9" t="s">
        <v>326</v>
      </c>
      <c r="C267" s="56"/>
      <c r="D267" s="56"/>
      <c r="E267" s="56"/>
      <c r="F267" s="56"/>
    </row>
    <row r="268" spans="1:6" ht="15.75" x14ac:dyDescent="0.25">
      <c r="A268" s="9">
        <v>10</v>
      </c>
      <c r="B268" s="9" t="s">
        <v>327</v>
      </c>
      <c r="C268" s="56"/>
      <c r="D268" s="56"/>
      <c r="E268" s="56"/>
      <c r="F268" s="56"/>
    </row>
    <row r="269" spans="1:6" ht="15.75" x14ac:dyDescent="0.25">
      <c r="A269" s="9">
        <v>11</v>
      </c>
      <c r="B269" s="9" t="s">
        <v>328</v>
      </c>
      <c r="C269" s="56"/>
      <c r="D269" s="56"/>
      <c r="E269" s="56"/>
      <c r="F269" s="56"/>
    </row>
    <row r="270" spans="1:6" ht="15.75" x14ac:dyDescent="0.25">
      <c r="A270" s="9">
        <v>12</v>
      </c>
      <c r="B270" s="76" t="s">
        <v>329</v>
      </c>
      <c r="C270" s="56"/>
      <c r="D270" s="56"/>
      <c r="E270" s="56"/>
      <c r="F270" s="56"/>
    </row>
    <row r="271" spans="1:6" ht="15.75" x14ac:dyDescent="0.25">
      <c r="A271" s="9"/>
      <c r="B271" s="55" t="s">
        <v>138</v>
      </c>
      <c r="C271" s="57">
        <f>SUM(C258:C270)</f>
        <v>93917</v>
      </c>
      <c r="D271" s="57">
        <f>SUM(D258:D270)</f>
        <v>291402.5</v>
      </c>
      <c r="E271" s="57">
        <f>SUM(E258:E270)</f>
        <v>13460</v>
      </c>
      <c r="F271" s="57">
        <f>SUM(F258:F270)</f>
        <v>51751.199999999997</v>
      </c>
    </row>
    <row r="272" spans="1:6" ht="15.75" thickBot="1" x14ac:dyDescent="0.3"/>
    <row r="273" spans="4:6" ht="16.5" thickBot="1" x14ac:dyDescent="0.3">
      <c r="D273" s="12" t="s">
        <v>203</v>
      </c>
      <c r="E273" s="12"/>
      <c r="F273" s="65">
        <f>SUM(C271+D271+E271)-(F271)</f>
        <v>347028.3</v>
      </c>
    </row>
  </sheetData>
  <pageMargins left="0.7" right="0.7" top="0.75" bottom="0.75" header="0.3" footer="0.3"/>
  <pageSetup scale="9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0"/>
  <sheetViews>
    <sheetView topLeftCell="A166" workbookViewId="0">
      <selection activeCell="J179" sqref="J179"/>
    </sheetView>
  </sheetViews>
  <sheetFormatPr defaultRowHeight="15" x14ac:dyDescent="0.25"/>
  <cols>
    <col min="1" max="1" width="4.5703125" customWidth="1"/>
    <col min="2" max="2" width="32.7109375" customWidth="1"/>
    <col min="3" max="3" width="14.140625" customWidth="1"/>
    <col min="4" max="4" width="10.28515625" customWidth="1"/>
    <col min="5" max="5" width="11.42578125" customWidth="1"/>
    <col min="6" max="6" width="11.7109375" customWidth="1"/>
    <col min="7" max="7" width="11.28515625" customWidth="1"/>
    <col min="8" max="8" width="9.85546875" customWidth="1"/>
    <col min="9" max="9" width="10" customWidth="1"/>
    <col min="10" max="10" width="12.7109375" customWidth="1"/>
  </cols>
  <sheetData>
    <row r="1" spans="1:10" ht="13.5" customHeight="1" x14ac:dyDescent="0.25">
      <c r="A1" s="94"/>
      <c r="B1" s="54" t="s">
        <v>80</v>
      </c>
      <c r="C1" s="54"/>
      <c r="D1" s="54"/>
      <c r="E1" s="94"/>
      <c r="F1" s="94"/>
      <c r="G1" s="94"/>
      <c r="H1" s="94"/>
      <c r="I1" s="94"/>
      <c r="J1" s="94"/>
    </row>
    <row r="2" spans="1:10" ht="12.75" customHeight="1" x14ac:dyDescent="0.25">
      <c r="A2" s="94"/>
      <c r="B2" s="54" t="s">
        <v>64</v>
      </c>
      <c r="C2" s="54"/>
      <c r="D2" s="54"/>
      <c r="E2" s="94"/>
      <c r="F2" s="94"/>
      <c r="G2" s="94"/>
      <c r="H2" s="94"/>
      <c r="I2" s="94"/>
      <c r="J2" s="94"/>
    </row>
    <row r="3" spans="1:10" ht="12" customHeight="1" x14ac:dyDescent="0.25">
      <c r="A3" s="94"/>
      <c r="B3" s="54" t="s">
        <v>392</v>
      </c>
      <c r="C3" s="54"/>
      <c r="D3" s="54"/>
      <c r="E3" s="94"/>
      <c r="F3" s="94"/>
      <c r="G3" s="94"/>
      <c r="H3" s="94"/>
      <c r="I3" s="94"/>
      <c r="J3" s="94"/>
    </row>
    <row r="4" spans="1:10" ht="12" customHeight="1" x14ac:dyDescent="0.25">
      <c r="A4" s="94"/>
      <c r="B4" s="54"/>
      <c r="C4" s="54"/>
      <c r="D4" s="54"/>
      <c r="E4" s="94"/>
      <c r="F4" s="94"/>
      <c r="G4" s="94"/>
      <c r="H4" s="94"/>
      <c r="I4" s="94"/>
      <c r="J4" s="94"/>
    </row>
    <row r="5" spans="1:10" ht="15.75" x14ac:dyDescent="0.25">
      <c r="A5" s="1" t="s">
        <v>21</v>
      </c>
      <c r="B5" s="8" t="s">
        <v>6</v>
      </c>
      <c r="C5" s="59" t="s">
        <v>361</v>
      </c>
      <c r="D5" s="13">
        <v>43466</v>
      </c>
      <c r="E5" s="13">
        <v>43497</v>
      </c>
      <c r="F5" s="13">
        <v>43525</v>
      </c>
      <c r="G5" s="13">
        <v>43556</v>
      </c>
      <c r="H5" s="13">
        <v>43586</v>
      </c>
      <c r="I5" s="13">
        <v>43617</v>
      </c>
      <c r="J5" s="1" t="s">
        <v>81</v>
      </c>
    </row>
    <row r="6" spans="1:10" x14ac:dyDescent="0.25">
      <c r="A6" s="1">
        <v>1</v>
      </c>
      <c r="B6" s="1" t="s">
        <v>83</v>
      </c>
      <c r="C6" s="27">
        <v>16100</v>
      </c>
      <c r="D6" s="27">
        <v>0</v>
      </c>
      <c r="E6" s="27">
        <v>0</v>
      </c>
      <c r="F6" s="38">
        <v>0</v>
      </c>
      <c r="G6" s="27">
        <v>0</v>
      </c>
      <c r="H6" s="27">
        <v>0</v>
      </c>
      <c r="I6" s="27">
        <v>0</v>
      </c>
      <c r="J6" s="27">
        <f t="shared" ref="J6:J36" si="0">SUM(C6:I6)</f>
        <v>16100</v>
      </c>
    </row>
    <row r="7" spans="1:10" ht="15.75" x14ac:dyDescent="0.25">
      <c r="A7" s="1">
        <v>2</v>
      </c>
      <c r="B7" s="17" t="s">
        <v>95</v>
      </c>
      <c r="C7" s="68">
        <v>852900</v>
      </c>
      <c r="D7" s="27">
        <v>0</v>
      </c>
      <c r="E7" s="27">
        <v>0</v>
      </c>
      <c r="F7" s="38">
        <v>0</v>
      </c>
      <c r="G7" s="27">
        <v>0</v>
      </c>
      <c r="H7" s="27">
        <v>0</v>
      </c>
      <c r="I7" s="27">
        <v>0</v>
      </c>
      <c r="J7" s="27">
        <f t="shared" si="0"/>
        <v>852900</v>
      </c>
    </row>
    <row r="8" spans="1:10" x14ac:dyDescent="0.25">
      <c r="A8" s="1">
        <v>3</v>
      </c>
      <c r="B8" s="1" t="s">
        <v>82</v>
      </c>
      <c r="C8" s="27">
        <v>115500</v>
      </c>
      <c r="D8" s="27">
        <v>0</v>
      </c>
      <c r="E8" s="27">
        <v>0</v>
      </c>
      <c r="F8" s="38">
        <v>0</v>
      </c>
      <c r="G8" s="27">
        <v>0</v>
      </c>
      <c r="H8" s="27">
        <v>0</v>
      </c>
      <c r="I8" s="27">
        <v>0</v>
      </c>
      <c r="J8" s="27">
        <f t="shared" si="0"/>
        <v>115500</v>
      </c>
    </row>
    <row r="9" spans="1:10" x14ac:dyDescent="0.25">
      <c r="A9" s="1">
        <v>4</v>
      </c>
      <c r="B9" s="1" t="s">
        <v>107</v>
      </c>
      <c r="C9" s="27">
        <v>320120</v>
      </c>
      <c r="D9" s="27">
        <v>0</v>
      </c>
      <c r="E9" s="27">
        <v>0</v>
      </c>
      <c r="F9" s="38">
        <v>0</v>
      </c>
      <c r="G9" s="27">
        <v>0</v>
      </c>
      <c r="H9" s="27">
        <v>0</v>
      </c>
      <c r="I9" s="27">
        <v>0</v>
      </c>
      <c r="J9" s="27">
        <f t="shared" si="0"/>
        <v>320120</v>
      </c>
    </row>
    <row r="10" spans="1:10" x14ac:dyDescent="0.25">
      <c r="A10" s="1"/>
      <c r="B10" s="1" t="s">
        <v>123</v>
      </c>
      <c r="C10" s="27">
        <v>571500</v>
      </c>
      <c r="D10" s="27">
        <v>0</v>
      </c>
      <c r="E10" s="27">
        <v>0</v>
      </c>
      <c r="F10" s="38">
        <v>0</v>
      </c>
      <c r="G10" s="27">
        <v>0</v>
      </c>
      <c r="H10" s="27">
        <v>0</v>
      </c>
      <c r="I10" s="27">
        <v>0</v>
      </c>
      <c r="J10" s="27">
        <f t="shared" si="0"/>
        <v>571500</v>
      </c>
    </row>
    <row r="11" spans="1:10" x14ac:dyDescent="0.25">
      <c r="A11" s="1"/>
      <c r="B11" s="1" t="s">
        <v>381</v>
      </c>
      <c r="C11" s="27">
        <v>0</v>
      </c>
      <c r="D11" s="27">
        <v>0</v>
      </c>
      <c r="E11" s="27">
        <v>0</v>
      </c>
      <c r="F11" s="38">
        <v>104000</v>
      </c>
      <c r="G11" s="27">
        <v>162500</v>
      </c>
      <c r="H11" s="27"/>
      <c r="I11" s="27"/>
      <c r="J11" s="27">
        <f t="shared" si="0"/>
        <v>266500</v>
      </c>
    </row>
    <row r="12" spans="1:10" x14ac:dyDescent="0.25">
      <c r="A12" s="1">
        <v>5</v>
      </c>
      <c r="B12" s="1" t="s">
        <v>84</v>
      </c>
      <c r="C12" s="27">
        <v>140858</v>
      </c>
      <c r="D12" s="27">
        <v>0</v>
      </c>
      <c r="E12" s="27">
        <v>0</v>
      </c>
      <c r="F12" s="38">
        <v>13850</v>
      </c>
      <c r="G12" s="27">
        <v>0</v>
      </c>
      <c r="H12" s="27">
        <v>0</v>
      </c>
      <c r="I12" s="27">
        <v>0</v>
      </c>
      <c r="J12" s="27">
        <f t="shared" si="0"/>
        <v>154708</v>
      </c>
    </row>
    <row r="13" spans="1:10" x14ac:dyDescent="0.25">
      <c r="A13" s="1">
        <v>6</v>
      </c>
      <c r="B13" s="1" t="s">
        <v>109</v>
      </c>
      <c r="C13" s="27">
        <v>10695095</v>
      </c>
      <c r="D13" s="27"/>
      <c r="E13" s="27">
        <v>453250</v>
      </c>
      <c r="F13" s="38">
        <v>740650</v>
      </c>
      <c r="G13" s="27">
        <v>1124200</v>
      </c>
      <c r="H13" s="27">
        <v>0</v>
      </c>
      <c r="I13" s="27">
        <v>26105</v>
      </c>
      <c r="J13" s="27">
        <f t="shared" si="0"/>
        <v>13039300</v>
      </c>
    </row>
    <row r="14" spans="1:10" x14ac:dyDescent="0.25">
      <c r="A14" s="1">
        <v>7</v>
      </c>
      <c r="B14" s="1" t="s">
        <v>37</v>
      </c>
      <c r="C14" s="27">
        <v>4051325</v>
      </c>
      <c r="D14" s="27">
        <v>0</v>
      </c>
      <c r="E14" s="27">
        <v>115500</v>
      </c>
      <c r="F14" s="38">
        <v>311250</v>
      </c>
      <c r="G14" s="27">
        <v>249000</v>
      </c>
      <c r="H14" s="27">
        <v>207500</v>
      </c>
      <c r="I14" s="27"/>
      <c r="J14" s="27">
        <f t="shared" si="0"/>
        <v>4934575</v>
      </c>
    </row>
    <row r="15" spans="1:10" x14ac:dyDescent="0.25">
      <c r="A15" s="1">
        <v>8</v>
      </c>
      <c r="B15" s="1" t="s">
        <v>111</v>
      </c>
      <c r="C15" s="27">
        <v>3990189</v>
      </c>
      <c r="D15" s="27">
        <v>0</v>
      </c>
      <c r="E15" s="27">
        <v>45900</v>
      </c>
      <c r="F15" s="38">
        <v>205004</v>
      </c>
      <c r="G15" s="27">
        <v>518548</v>
      </c>
      <c r="H15" s="27">
        <v>19850</v>
      </c>
      <c r="I15" s="27"/>
      <c r="J15" s="27">
        <f t="shared" si="0"/>
        <v>4779491</v>
      </c>
    </row>
    <row r="16" spans="1:10" x14ac:dyDescent="0.25">
      <c r="A16" s="1">
        <v>9</v>
      </c>
      <c r="B16" s="1" t="s">
        <v>96</v>
      </c>
      <c r="C16" s="27">
        <v>1018450</v>
      </c>
      <c r="D16" s="27"/>
      <c r="E16" s="27">
        <v>52800</v>
      </c>
      <c r="F16" s="38">
        <v>63100</v>
      </c>
      <c r="G16" s="27">
        <v>172800</v>
      </c>
      <c r="H16" s="27">
        <v>0</v>
      </c>
      <c r="I16" s="27"/>
      <c r="J16" s="27">
        <f t="shared" si="0"/>
        <v>1307150</v>
      </c>
    </row>
    <row r="17" spans="1:10" x14ac:dyDescent="0.25">
      <c r="A17" s="1">
        <v>10</v>
      </c>
      <c r="B17" s="1" t="s">
        <v>217</v>
      </c>
      <c r="C17" s="27">
        <v>592263</v>
      </c>
      <c r="D17" s="27">
        <v>3500</v>
      </c>
      <c r="E17" s="27">
        <v>7600</v>
      </c>
      <c r="F17" s="38">
        <v>30800</v>
      </c>
      <c r="G17" s="27">
        <v>53150</v>
      </c>
      <c r="H17" s="27">
        <v>10800</v>
      </c>
      <c r="I17" s="27"/>
      <c r="J17" s="27">
        <f t="shared" si="0"/>
        <v>698113</v>
      </c>
    </row>
    <row r="18" spans="1:10" x14ac:dyDescent="0.25">
      <c r="A18" s="1">
        <v>11</v>
      </c>
      <c r="B18" s="1" t="s">
        <v>336</v>
      </c>
      <c r="C18" s="27">
        <v>192980</v>
      </c>
      <c r="D18" s="27">
        <v>0</v>
      </c>
      <c r="E18" s="27">
        <v>0</v>
      </c>
      <c r="F18" s="38"/>
      <c r="G18" s="27"/>
      <c r="H18" s="27">
        <v>0</v>
      </c>
      <c r="I18" s="27"/>
      <c r="J18" s="27">
        <f t="shared" si="0"/>
        <v>192980</v>
      </c>
    </row>
    <row r="19" spans="1:10" x14ac:dyDescent="0.25">
      <c r="A19" s="1"/>
      <c r="B19" s="1" t="s">
        <v>108</v>
      </c>
      <c r="C19" s="27">
        <v>156274</v>
      </c>
      <c r="D19" s="27">
        <v>6440</v>
      </c>
      <c r="E19" s="27">
        <v>0</v>
      </c>
      <c r="F19" s="38">
        <v>15240</v>
      </c>
      <c r="G19" s="27">
        <v>0</v>
      </c>
      <c r="H19" s="27">
        <v>6440</v>
      </c>
      <c r="I19" s="27">
        <v>3200</v>
      </c>
      <c r="J19" s="27">
        <f t="shared" si="0"/>
        <v>187594</v>
      </c>
    </row>
    <row r="20" spans="1:10" x14ac:dyDescent="0.25">
      <c r="A20" s="1"/>
      <c r="B20" s="1" t="s">
        <v>119</v>
      </c>
      <c r="C20" s="27">
        <v>256041</v>
      </c>
      <c r="D20" s="27">
        <v>10437</v>
      </c>
      <c r="E20" s="27">
        <v>7247</v>
      </c>
      <c r="F20" s="38"/>
      <c r="G20" s="27"/>
      <c r="H20" s="27">
        <v>0</v>
      </c>
      <c r="I20" s="27"/>
      <c r="J20" s="27">
        <f t="shared" si="0"/>
        <v>273725</v>
      </c>
    </row>
    <row r="21" spans="1:10" x14ac:dyDescent="0.25">
      <c r="A21" s="1">
        <v>12</v>
      </c>
      <c r="B21" s="1" t="s">
        <v>331</v>
      </c>
      <c r="C21" s="27">
        <v>666220</v>
      </c>
      <c r="D21" s="27">
        <v>0</v>
      </c>
      <c r="E21" s="27">
        <v>0</v>
      </c>
      <c r="F21" s="38"/>
      <c r="G21" s="27"/>
      <c r="H21" s="27">
        <v>0</v>
      </c>
      <c r="I21" s="27"/>
      <c r="J21" s="27">
        <f t="shared" si="0"/>
        <v>666220</v>
      </c>
    </row>
    <row r="22" spans="1:10" x14ac:dyDescent="0.25">
      <c r="A22" s="1">
        <v>13</v>
      </c>
      <c r="B22" s="1" t="s">
        <v>88</v>
      </c>
      <c r="C22" s="27">
        <v>158109</v>
      </c>
      <c r="D22" s="27">
        <v>0</v>
      </c>
      <c r="E22" s="27">
        <v>0</v>
      </c>
      <c r="F22" s="38"/>
      <c r="G22" s="27"/>
      <c r="H22" s="27">
        <v>0</v>
      </c>
      <c r="I22" s="27"/>
      <c r="J22" s="27">
        <f t="shared" si="0"/>
        <v>158109</v>
      </c>
    </row>
    <row r="23" spans="1:10" x14ac:dyDescent="0.25">
      <c r="A23" s="1">
        <v>14</v>
      </c>
      <c r="B23" s="1" t="s">
        <v>89</v>
      </c>
      <c r="C23" s="27">
        <v>104546</v>
      </c>
      <c r="D23" s="27">
        <v>0</v>
      </c>
      <c r="E23" s="27">
        <v>0</v>
      </c>
      <c r="F23" s="38"/>
      <c r="G23" s="27"/>
      <c r="H23" s="27">
        <v>0</v>
      </c>
      <c r="I23" s="27"/>
      <c r="J23" s="27">
        <f t="shared" si="0"/>
        <v>104546</v>
      </c>
    </row>
    <row r="24" spans="1:10" x14ac:dyDescent="0.25">
      <c r="A24" s="1">
        <v>14</v>
      </c>
      <c r="B24" s="1" t="s">
        <v>90</v>
      </c>
      <c r="C24" s="27">
        <v>722500</v>
      </c>
      <c r="D24" s="27">
        <v>0</v>
      </c>
      <c r="E24" s="27">
        <v>0</v>
      </c>
      <c r="F24" s="38">
        <v>0</v>
      </c>
      <c r="G24" s="27"/>
      <c r="H24" s="27">
        <v>0</v>
      </c>
      <c r="I24" s="27">
        <v>0</v>
      </c>
      <c r="J24" s="27">
        <f t="shared" si="0"/>
        <v>722500</v>
      </c>
    </row>
    <row r="25" spans="1:10" x14ac:dyDescent="0.25">
      <c r="A25" s="1">
        <v>15</v>
      </c>
      <c r="B25" s="76" t="s">
        <v>120</v>
      </c>
      <c r="C25" s="27">
        <v>80483</v>
      </c>
      <c r="D25" s="27">
        <v>0</v>
      </c>
      <c r="E25" s="27">
        <v>0</v>
      </c>
      <c r="F25" s="38">
        <v>0</v>
      </c>
      <c r="G25" s="27">
        <v>0</v>
      </c>
      <c r="H25" s="27">
        <v>0</v>
      </c>
      <c r="I25" s="27">
        <v>0</v>
      </c>
      <c r="J25" s="27">
        <f t="shared" si="0"/>
        <v>80483</v>
      </c>
    </row>
    <row r="26" spans="1:10" x14ac:dyDescent="0.25">
      <c r="A26" s="1">
        <v>16</v>
      </c>
      <c r="B26" s="1" t="s">
        <v>128</v>
      </c>
      <c r="C26" s="27">
        <v>362082</v>
      </c>
      <c r="D26" s="27">
        <v>13435</v>
      </c>
      <c r="E26" s="27">
        <v>16992</v>
      </c>
      <c r="F26" s="38">
        <v>11787</v>
      </c>
      <c r="G26" s="27">
        <v>18275</v>
      </c>
      <c r="H26" s="27">
        <f>1795+67000</f>
        <v>68795</v>
      </c>
      <c r="I26" s="27">
        <v>1210</v>
      </c>
      <c r="J26" s="27">
        <f t="shared" si="0"/>
        <v>492576</v>
      </c>
    </row>
    <row r="27" spans="1:10" x14ac:dyDescent="0.25">
      <c r="A27" s="1">
        <v>17</v>
      </c>
      <c r="B27" s="1" t="s">
        <v>127</v>
      </c>
      <c r="C27" s="27">
        <v>41000</v>
      </c>
      <c r="D27" s="27">
        <v>0</v>
      </c>
      <c r="E27" s="27">
        <v>0</v>
      </c>
      <c r="F27" s="38">
        <v>2000</v>
      </c>
      <c r="G27" s="27"/>
      <c r="H27" s="27">
        <v>0</v>
      </c>
      <c r="I27" s="27"/>
      <c r="J27" s="27">
        <f t="shared" si="0"/>
        <v>43000</v>
      </c>
    </row>
    <row r="28" spans="1:10" x14ac:dyDescent="0.25">
      <c r="A28" s="1">
        <v>18</v>
      </c>
      <c r="B28" s="1" t="s">
        <v>129</v>
      </c>
      <c r="C28" s="27">
        <v>2064935</v>
      </c>
      <c r="D28" s="27">
        <v>53175</v>
      </c>
      <c r="E28" s="27">
        <v>0</v>
      </c>
      <c r="F28" s="38">
        <v>234200</v>
      </c>
      <c r="G28" s="27">
        <v>410400</v>
      </c>
      <c r="H28" s="27">
        <v>6000</v>
      </c>
      <c r="I28" s="27"/>
      <c r="J28" s="27">
        <f t="shared" si="0"/>
        <v>2768710</v>
      </c>
    </row>
    <row r="29" spans="1:10" x14ac:dyDescent="0.25">
      <c r="A29" s="1">
        <v>19</v>
      </c>
      <c r="B29" s="1" t="s">
        <v>157</v>
      </c>
      <c r="C29" s="27">
        <v>28926</v>
      </c>
      <c r="D29" s="27">
        <v>0</v>
      </c>
      <c r="E29" s="27">
        <v>0</v>
      </c>
      <c r="F29" s="38"/>
      <c r="G29" s="27">
        <v>0</v>
      </c>
      <c r="H29" s="27">
        <v>0</v>
      </c>
      <c r="I29" s="27">
        <v>9000</v>
      </c>
      <c r="J29" s="27">
        <f t="shared" si="0"/>
        <v>37926</v>
      </c>
    </row>
    <row r="30" spans="1:10" x14ac:dyDescent="0.25">
      <c r="A30" s="1">
        <v>20</v>
      </c>
      <c r="B30" s="1" t="s">
        <v>158</v>
      </c>
      <c r="C30" s="27">
        <v>1360</v>
      </c>
      <c r="D30" s="27">
        <v>0</v>
      </c>
      <c r="E30" s="27">
        <v>0</v>
      </c>
      <c r="F30" s="38">
        <v>0</v>
      </c>
      <c r="G30" s="27">
        <v>0</v>
      </c>
      <c r="H30" s="27">
        <v>0</v>
      </c>
      <c r="I30" s="27">
        <v>0</v>
      </c>
      <c r="J30" s="27">
        <f t="shared" si="0"/>
        <v>1360</v>
      </c>
    </row>
    <row r="31" spans="1:10" x14ac:dyDescent="0.25">
      <c r="A31" s="66">
        <v>21</v>
      </c>
      <c r="B31" s="66" t="s">
        <v>209</v>
      </c>
      <c r="C31" s="27">
        <v>62573</v>
      </c>
      <c r="D31" s="27">
        <v>0</v>
      </c>
      <c r="E31" s="27">
        <v>0</v>
      </c>
      <c r="F31" s="90">
        <v>0</v>
      </c>
      <c r="G31" s="91">
        <v>0</v>
      </c>
      <c r="H31" s="91">
        <v>0</v>
      </c>
      <c r="I31" s="91">
        <v>0</v>
      </c>
      <c r="J31" s="91">
        <f t="shared" si="0"/>
        <v>62573</v>
      </c>
    </row>
    <row r="32" spans="1:10" x14ac:dyDescent="0.25">
      <c r="A32" s="66">
        <v>22</v>
      </c>
      <c r="B32" s="66" t="s">
        <v>210</v>
      </c>
      <c r="C32" s="27">
        <v>47610</v>
      </c>
      <c r="D32" s="27">
        <v>0</v>
      </c>
      <c r="E32" s="27">
        <v>0</v>
      </c>
      <c r="F32" s="90">
        <v>0</v>
      </c>
      <c r="G32" s="91">
        <v>0</v>
      </c>
      <c r="H32" s="91">
        <v>0</v>
      </c>
      <c r="I32" s="91">
        <v>0</v>
      </c>
      <c r="J32" s="91">
        <f t="shared" si="0"/>
        <v>47610</v>
      </c>
    </row>
    <row r="33" spans="1:10" x14ac:dyDescent="0.25">
      <c r="A33" s="3">
        <v>23</v>
      </c>
      <c r="B33" s="3" t="s">
        <v>130</v>
      </c>
      <c r="C33" s="15">
        <v>1812545</v>
      </c>
      <c r="D33" s="15">
        <v>0</v>
      </c>
      <c r="E33" s="15">
        <v>0</v>
      </c>
      <c r="F33" s="3">
        <v>0</v>
      </c>
      <c r="G33" s="15">
        <v>0</v>
      </c>
      <c r="H33" s="15">
        <v>0</v>
      </c>
      <c r="I33" s="15">
        <v>0</v>
      </c>
      <c r="J33" s="14">
        <f t="shared" si="0"/>
        <v>1812545</v>
      </c>
    </row>
    <row r="34" spans="1:10" x14ac:dyDescent="0.25">
      <c r="A34" s="3" t="s">
        <v>305</v>
      </c>
      <c r="B34" s="3" t="s">
        <v>306</v>
      </c>
      <c r="C34" s="15">
        <v>1940900</v>
      </c>
      <c r="D34" s="15">
        <v>89700</v>
      </c>
      <c r="E34" s="15">
        <v>74100</v>
      </c>
      <c r="F34" s="3">
        <v>211400</v>
      </c>
      <c r="G34" s="15">
        <v>233200</v>
      </c>
      <c r="H34" s="15">
        <v>220400</v>
      </c>
      <c r="I34" s="15">
        <v>81000</v>
      </c>
      <c r="J34" s="14">
        <f t="shared" si="0"/>
        <v>2850700</v>
      </c>
    </row>
    <row r="35" spans="1:10" x14ac:dyDescent="0.25">
      <c r="A35" s="1">
        <v>24</v>
      </c>
      <c r="B35" s="1" t="s">
        <v>216</v>
      </c>
      <c r="C35" s="14">
        <v>4171944</v>
      </c>
      <c r="D35" s="14">
        <v>87000</v>
      </c>
      <c r="E35" s="14">
        <v>86500</v>
      </c>
      <c r="F35" s="1">
        <v>86500</v>
      </c>
      <c r="G35" s="14">
        <v>94500</v>
      </c>
      <c r="H35" s="14">
        <v>93033</v>
      </c>
      <c r="I35" s="14">
        <v>139000</v>
      </c>
      <c r="J35" s="14">
        <f t="shared" si="0"/>
        <v>4758477</v>
      </c>
    </row>
    <row r="36" spans="1:10" x14ac:dyDescent="0.25">
      <c r="A36" s="1">
        <v>25</v>
      </c>
      <c r="B36" s="1" t="s">
        <v>282</v>
      </c>
      <c r="C36" s="14">
        <v>25500</v>
      </c>
      <c r="D36" s="14">
        <v>0</v>
      </c>
      <c r="E36" s="14">
        <v>0</v>
      </c>
      <c r="F36" s="1"/>
      <c r="G36" s="14">
        <v>0</v>
      </c>
      <c r="H36" s="14">
        <v>0</v>
      </c>
      <c r="I36" s="14">
        <v>0</v>
      </c>
      <c r="J36" s="14">
        <f t="shared" si="0"/>
        <v>25500</v>
      </c>
    </row>
    <row r="37" spans="1:10" x14ac:dyDescent="0.25">
      <c r="A37" s="1"/>
      <c r="B37" s="3" t="s">
        <v>93</v>
      </c>
      <c r="C37" s="15">
        <f t="shared" ref="C37:J37" si="1">SUM(C6:C36)</f>
        <v>35260828</v>
      </c>
      <c r="D37" s="15">
        <f t="shared" si="1"/>
        <v>263687</v>
      </c>
      <c r="E37" s="15">
        <f t="shared" si="1"/>
        <v>859889</v>
      </c>
      <c r="F37" s="15">
        <f t="shared" si="1"/>
        <v>2029781</v>
      </c>
      <c r="G37" s="15">
        <f t="shared" si="1"/>
        <v>3036573</v>
      </c>
      <c r="H37" s="15">
        <f>SUM(H6:H36)</f>
        <v>632818</v>
      </c>
      <c r="I37" s="15">
        <f t="shared" si="1"/>
        <v>259515</v>
      </c>
      <c r="J37" s="15">
        <f t="shared" si="1"/>
        <v>42343091</v>
      </c>
    </row>
    <row r="41" spans="1:10" x14ac:dyDescent="0.25">
      <c r="A41" s="1"/>
      <c r="B41" s="3" t="s">
        <v>337</v>
      </c>
      <c r="C41" s="59" t="s">
        <v>361</v>
      </c>
      <c r="D41" s="13">
        <v>43466</v>
      </c>
      <c r="E41" s="13">
        <v>43497</v>
      </c>
      <c r="F41" s="13">
        <v>43525</v>
      </c>
      <c r="G41" s="13">
        <v>43556</v>
      </c>
      <c r="H41" s="13">
        <v>43586</v>
      </c>
      <c r="I41" s="13">
        <v>43617</v>
      </c>
      <c r="J41" s="1" t="s">
        <v>81</v>
      </c>
    </row>
    <row r="42" spans="1:10" x14ac:dyDescent="0.25">
      <c r="A42" s="1">
        <v>16</v>
      </c>
      <c r="B42" s="1" t="s">
        <v>92</v>
      </c>
      <c r="C42" s="14">
        <v>213820</v>
      </c>
      <c r="D42" s="14">
        <v>4250</v>
      </c>
      <c r="E42" s="14">
        <v>5370</v>
      </c>
      <c r="F42" s="1">
        <v>4847</v>
      </c>
      <c r="G42" s="14">
        <v>4942</v>
      </c>
      <c r="H42" s="27">
        <v>5035</v>
      </c>
      <c r="I42" s="27">
        <v>10218</v>
      </c>
      <c r="J42" s="14">
        <f t="shared" ref="J42:J61" si="2">SUM(C42:I42)</f>
        <v>248482</v>
      </c>
    </row>
    <row r="43" spans="1:10" x14ac:dyDescent="0.25">
      <c r="A43" s="1">
        <v>17</v>
      </c>
      <c r="B43" s="1" t="s">
        <v>97</v>
      </c>
      <c r="C43" s="14">
        <v>190000</v>
      </c>
      <c r="D43" s="14">
        <v>0</v>
      </c>
      <c r="E43" s="14">
        <v>0</v>
      </c>
      <c r="F43" s="1">
        <v>0</v>
      </c>
      <c r="G43" s="14">
        <v>0</v>
      </c>
      <c r="H43" s="27">
        <v>0</v>
      </c>
      <c r="I43" s="27"/>
      <c r="J43" s="14">
        <f t="shared" si="2"/>
        <v>190000</v>
      </c>
    </row>
    <row r="44" spans="1:10" x14ac:dyDescent="0.25">
      <c r="A44" s="1">
        <v>18</v>
      </c>
      <c r="B44" s="1" t="s">
        <v>98</v>
      </c>
      <c r="C44" s="14">
        <v>85662</v>
      </c>
      <c r="D44" s="14">
        <v>2173</v>
      </c>
      <c r="E44" s="14">
        <v>1020</v>
      </c>
      <c r="F44" s="1">
        <v>2436</v>
      </c>
      <c r="G44" s="14">
        <v>1060</v>
      </c>
      <c r="H44" s="27">
        <v>2860</v>
      </c>
      <c r="I44" s="27">
        <v>1100</v>
      </c>
      <c r="J44" s="14">
        <f t="shared" si="2"/>
        <v>96311</v>
      </c>
    </row>
    <row r="45" spans="1:10" x14ac:dyDescent="0.25">
      <c r="A45" s="1">
        <v>19</v>
      </c>
      <c r="B45" s="1" t="s">
        <v>46</v>
      </c>
      <c r="C45" s="14">
        <v>69822</v>
      </c>
      <c r="D45" s="14">
        <v>675</v>
      </c>
      <c r="E45" s="14">
        <v>370</v>
      </c>
      <c r="F45" s="1">
        <v>945</v>
      </c>
      <c r="G45" s="14">
        <v>310</v>
      </c>
      <c r="H45" s="27">
        <v>534</v>
      </c>
      <c r="I45" s="27">
        <v>220</v>
      </c>
      <c r="J45" s="14">
        <f t="shared" si="2"/>
        <v>72876</v>
      </c>
    </row>
    <row r="46" spans="1:10" x14ac:dyDescent="0.25">
      <c r="A46" s="1">
        <v>20</v>
      </c>
      <c r="B46" s="1" t="s">
        <v>14</v>
      </c>
      <c r="C46" s="14">
        <v>102581</v>
      </c>
      <c r="D46" s="14">
        <v>1000</v>
      </c>
      <c r="E46" s="14">
        <v>1040</v>
      </c>
      <c r="F46" s="1">
        <v>2695</v>
      </c>
      <c r="G46" s="14">
        <v>810</v>
      </c>
      <c r="H46" s="27">
        <v>1000</v>
      </c>
      <c r="I46" s="27">
        <v>480</v>
      </c>
      <c r="J46" s="14">
        <f t="shared" si="2"/>
        <v>109606</v>
      </c>
    </row>
    <row r="47" spans="1:10" x14ac:dyDescent="0.25">
      <c r="A47" s="3">
        <v>21</v>
      </c>
      <c r="B47" s="3" t="s">
        <v>376</v>
      </c>
      <c r="C47" s="14">
        <v>283768</v>
      </c>
      <c r="D47" s="14">
        <v>113668</v>
      </c>
      <c r="E47" s="14">
        <v>57948</v>
      </c>
      <c r="F47" s="1">
        <v>57035</v>
      </c>
      <c r="G47" s="14">
        <v>2750</v>
      </c>
      <c r="H47" s="27">
        <v>39831</v>
      </c>
      <c r="I47" s="27">
        <v>3627</v>
      </c>
      <c r="J47" s="14">
        <f t="shared" si="2"/>
        <v>558627</v>
      </c>
    </row>
    <row r="48" spans="1:10" x14ac:dyDescent="0.25">
      <c r="A48" s="3"/>
      <c r="B48" s="3" t="s">
        <v>348</v>
      </c>
      <c r="C48" s="14">
        <v>29500</v>
      </c>
      <c r="D48" s="14">
        <v>0</v>
      </c>
      <c r="E48" s="14">
        <v>0</v>
      </c>
      <c r="F48" s="1">
        <v>40000</v>
      </c>
      <c r="G48" s="14">
        <v>5000</v>
      </c>
      <c r="H48" s="27">
        <v>0</v>
      </c>
      <c r="I48" s="27">
        <v>15000</v>
      </c>
      <c r="J48" s="14">
        <f t="shared" si="2"/>
        <v>89500</v>
      </c>
    </row>
    <row r="49" spans="1:10" x14ac:dyDescent="0.25">
      <c r="A49" s="1">
        <v>22</v>
      </c>
      <c r="B49" s="1" t="s">
        <v>333</v>
      </c>
      <c r="C49" s="14">
        <v>238897</v>
      </c>
      <c r="D49" s="14">
        <v>1922</v>
      </c>
      <c r="E49" s="14">
        <v>1061</v>
      </c>
      <c r="F49" s="1">
        <v>0</v>
      </c>
      <c r="G49" s="14">
        <v>1180</v>
      </c>
      <c r="H49" s="27">
        <v>32550</v>
      </c>
      <c r="I49" s="27">
        <v>71485</v>
      </c>
      <c r="J49" s="14">
        <f t="shared" si="2"/>
        <v>347095</v>
      </c>
    </row>
    <row r="50" spans="1:10" x14ac:dyDescent="0.25">
      <c r="A50" s="1">
        <v>23</v>
      </c>
      <c r="B50" s="1" t="s">
        <v>352</v>
      </c>
      <c r="C50" s="14">
        <v>305900</v>
      </c>
      <c r="D50" s="14">
        <v>0</v>
      </c>
      <c r="E50" s="14">
        <v>69600</v>
      </c>
      <c r="F50" s="1"/>
      <c r="G50" s="14">
        <v>0</v>
      </c>
      <c r="H50" s="27">
        <v>0</v>
      </c>
      <c r="I50" s="27">
        <v>64000</v>
      </c>
      <c r="J50" s="14">
        <f t="shared" si="2"/>
        <v>439500</v>
      </c>
    </row>
    <row r="51" spans="1:10" x14ac:dyDescent="0.25">
      <c r="A51" s="1"/>
      <c r="B51" s="1" t="s">
        <v>353</v>
      </c>
      <c r="C51" s="14">
        <v>72790</v>
      </c>
      <c r="D51" s="14">
        <v>7800</v>
      </c>
      <c r="E51" s="14">
        <v>0</v>
      </c>
      <c r="F51" s="1">
        <v>0</v>
      </c>
      <c r="G51" s="14">
        <v>18000</v>
      </c>
      <c r="H51" s="27">
        <v>0</v>
      </c>
      <c r="I51" s="27">
        <v>16500</v>
      </c>
      <c r="J51" s="14">
        <f t="shared" si="2"/>
        <v>115090</v>
      </c>
    </row>
    <row r="52" spans="1:10" x14ac:dyDescent="0.25">
      <c r="A52" s="1">
        <v>24</v>
      </c>
      <c r="B52" s="1" t="s">
        <v>351</v>
      </c>
      <c r="C52" s="14">
        <v>246730</v>
      </c>
      <c r="D52" s="14">
        <v>4050</v>
      </c>
      <c r="E52" s="14">
        <v>0</v>
      </c>
      <c r="F52" s="1">
        <v>0</v>
      </c>
      <c r="G52" s="14">
        <v>90630</v>
      </c>
      <c r="H52" s="27">
        <v>0</v>
      </c>
      <c r="I52" s="27">
        <v>8150</v>
      </c>
      <c r="J52" s="14">
        <f t="shared" si="2"/>
        <v>349560</v>
      </c>
    </row>
    <row r="53" spans="1:10" x14ac:dyDescent="0.25">
      <c r="A53" s="1"/>
      <c r="B53" s="3" t="s">
        <v>350</v>
      </c>
      <c r="C53" s="14">
        <v>57000</v>
      </c>
      <c r="D53" s="14">
        <v>5000</v>
      </c>
      <c r="E53" s="14">
        <v>0</v>
      </c>
      <c r="F53" s="1">
        <v>0</v>
      </c>
      <c r="G53" s="14">
        <v>10000</v>
      </c>
      <c r="H53" s="27">
        <v>0</v>
      </c>
      <c r="I53" s="27"/>
      <c r="J53" s="14">
        <f t="shared" si="2"/>
        <v>72000</v>
      </c>
    </row>
    <row r="54" spans="1:10" x14ac:dyDescent="0.25">
      <c r="A54" s="1">
        <v>25</v>
      </c>
      <c r="B54" s="1" t="s">
        <v>347</v>
      </c>
      <c r="C54" s="14">
        <v>269207</v>
      </c>
      <c r="D54" s="14">
        <v>1270</v>
      </c>
      <c r="E54" s="14">
        <v>3610</v>
      </c>
      <c r="F54" s="1">
        <v>0</v>
      </c>
      <c r="G54" s="14">
        <v>22295</v>
      </c>
      <c r="H54" s="27">
        <v>0</v>
      </c>
      <c r="I54" s="27">
        <v>13400</v>
      </c>
      <c r="J54" s="14">
        <f t="shared" si="2"/>
        <v>309782</v>
      </c>
    </row>
    <row r="55" spans="1:10" x14ac:dyDescent="0.25">
      <c r="A55" s="1" t="s">
        <v>390</v>
      </c>
      <c r="B55" s="3" t="s">
        <v>391</v>
      </c>
      <c r="C55" s="14"/>
      <c r="D55" s="14"/>
      <c r="E55" s="14"/>
      <c r="F55" s="1">
        <v>20000</v>
      </c>
      <c r="G55" s="14">
        <v>20000</v>
      </c>
      <c r="H55" s="27">
        <v>10000</v>
      </c>
      <c r="I55" s="27">
        <v>25000</v>
      </c>
      <c r="J55" s="14">
        <f t="shared" si="2"/>
        <v>75000</v>
      </c>
    </row>
    <row r="56" spans="1:10" x14ac:dyDescent="0.25">
      <c r="A56" s="1">
        <v>26</v>
      </c>
      <c r="B56" s="1" t="s">
        <v>349</v>
      </c>
      <c r="C56" s="14">
        <v>20730</v>
      </c>
      <c r="D56" s="14">
        <v>0</v>
      </c>
      <c r="E56" s="14">
        <v>0</v>
      </c>
      <c r="F56" s="1">
        <v>630</v>
      </c>
      <c r="G56" s="14">
        <v>0</v>
      </c>
      <c r="H56" s="27">
        <v>29332</v>
      </c>
      <c r="I56" s="27"/>
      <c r="J56" s="14">
        <f t="shared" si="2"/>
        <v>50692</v>
      </c>
    </row>
    <row r="57" spans="1:10" x14ac:dyDescent="0.25">
      <c r="A57" s="1">
        <v>27</v>
      </c>
      <c r="B57" s="1" t="s">
        <v>354</v>
      </c>
      <c r="C57" s="14">
        <v>82640</v>
      </c>
      <c r="D57" s="14">
        <v>0</v>
      </c>
      <c r="E57" s="14">
        <v>0</v>
      </c>
      <c r="F57" s="1">
        <v>0</v>
      </c>
      <c r="G57" s="14">
        <v>2040</v>
      </c>
      <c r="H57" s="27">
        <v>2330</v>
      </c>
      <c r="I57" s="27">
        <v>11460</v>
      </c>
      <c r="J57" s="14">
        <f t="shared" si="2"/>
        <v>98470</v>
      </c>
    </row>
    <row r="58" spans="1:10" x14ac:dyDescent="0.25">
      <c r="A58" s="1">
        <v>28</v>
      </c>
      <c r="B58" s="3" t="s">
        <v>382</v>
      </c>
      <c r="C58" s="14">
        <v>10000</v>
      </c>
      <c r="D58" s="14">
        <v>0</v>
      </c>
      <c r="E58" s="14">
        <v>0</v>
      </c>
      <c r="F58" s="1"/>
      <c r="G58" s="14">
        <v>5000</v>
      </c>
      <c r="H58" s="27">
        <v>0</v>
      </c>
      <c r="I58" s="27">
        <v>40000</v>
      </c>
      <c r="J58" s="14">
        <f t="shared" si="2"/>
        <v>55000</v>
      </c>
    </row>
    <row r="59" spans="1:10" x14ac:dyDescent="0.25">
      <c r="A59" s="1">
        <v>29</v>
      </c>
      <c r="B59" s="3" t="s">
        <v>355</v>
      </c>
      <c r="C59" s="14">
        <v>150000</v>
      </c>
      <c r="D59" s="14">
        <v>35000</v>
      </c>
      <c r="E59" s="14">
        <v>0</v>
      </c>
      <c r="F59" s="1">
        <v>0</v>
      </c>
      <c r="G59" s="14">
        <v>10000</v>
      </c>
      <c r="H59" s="27">
        <v>0</v>
      </c>
      <c r="I59" s="27"/>
      <c r="J59" s="14">
        <f t="shared" si="2"/>
        <v>195000</v>
      </c>
    </row>
    <row r="60" spans="1:10" x14ac:dyDescent="0.25">
      <c r="A60" s="1">
        <v>30</v>
      </c>
      <c r="B60" s="38" t="s">
        <v>275</v>
      </c>
      <c r="C60" s="77">
        <v>3043400</v>
      </c>
      <c r="D60" s="77">
        <v>0</v>
      </c>
      <c r="E60" s="77">
        <v>115000</v>
      </c>
      <c r="F60" s="78">
        <v>0</v>
      </c>
      <c r="G60" s="77">
        <v>0</v>
      </c>
      <c r="H60" s="79">
        <v>0</v>
      </c>
      <c r="I60" s="79">
        <v>321000</v>
      </c>
      <c r="J60" s="77">
        <f t="shared" si="2"/>
        <v>3479400</v>
      </c>
    </row>
    <row r="61" spans="1:10" x14ac:dyDescent="0.25">
      <c r="A61" s="1">
        <v>31</v>
      </c>
      <c r="B61" s="1" t="s">
        <v>314</v>
      </c>
      <c r="C61" s="77">
        <v>835000</v>
      </c>
      <c r="D61" s="77">
        <v>0</v>
      </c>
      <c r="E61" s="77"/>
      <c r="F61" s="78">
        <v>0</v>
      </c>
      <c r="G61" s="77">
        <v>0</v>
      </c>
      <c r="H61" s="79">
        <v>0</v>
      </c>
      <c r="I61" s="79"/>
      <c r="J61" s="77">
        <f t="shared" si="2"/>
        <v>835000</v>
      </c>
    </row>
    <row r="62" spans="1:10" x14ac:dyDescent="0.25">
      <c r="A62" s="1"/>
      <c r="B62" s="3" t="s">
        <v>93</v>
      </c>
      <c r="C62" s="74">
        <f t="shared" ref="C62:J62" si="3">SUM(C42:C59)</f>
        <v>2429047</v>
      </c>
      <c r="D62" s="74">
        <f t="shared" si="3"/>
        <v>176808</v>
      </c>
      <c r="E62" s="74">
        <f t="shared" si="3"/>
        <v>140019</v>
      </c>
      <c r="F62" s="74">
        <f t="shared" si="3"/>
        <v>128588</v>
      </c>
      <c r="G62" s="74">
        <f t="shared" si="3"/>
        <v>194017</v>
      </c>
      <c r="H62" s="74">
        <f t="shared" si="3"/>
        <v>123472</v>
      </c>
      <c r="I62" s="74">
        <f t="shared" si="3"/>
        <v>280640</v>
      </c>
      <c r="J62" s="74">
        <f t="shared" si="3"/>
        <v>3472591</v>
      </c>
    </row>
    <row r="63" spans="1:10" ht="15.75" x14ac:dyDescent="0.25">
      <c r="A63" s="1"/>
      <c r="B63" s="8" t="s">
        <v>94</v>
      </c>
      <c r="C63" s="16">
        <f t="shared" ref="C63:I63" si="4">C37+C62</f>
        <v>37689875</v>
      </c>
      <c r="D63" s="16">
        <f t="shared" si="4"/>
        <v>440495</v>
      </c>
      <c r="E63" s="16">
        <f t="shared" si="4"/>
        <v>999908</v>
      </c>
      <c r="F63" s="16">
        <f t="shared" si="4"/>
        <v>2158369</v>
      </c>
      <c r="G63" s="16">
        <f t="shared" si="4"/>
        <v>3230590</v>
      </c>
      <c r="H63" s="16">
        <f t="shared" si="4"/>
        <v>756290</v>
      </c>
      <c r="I63" s="16">
        <f t="shared" si="4"/>
        <v>540155</v>
      </c>
      <c r="J63" s="16">
        <f>SUM(J37+J62)</f>
        <v>45815682</v>
      </c>
    </row>
    <row r="64" spans="1:10" x14ac:dyDescent="0.25">
      <c r="J64" s="12"/>
    </row>
    <row r="65" spans="1:10" x14ac:dyDescent="0.25">
      <c r="J65" s="26"/>
    </row>
    <row r="70" spans="1:10" ht="18.75" x14ac:dyDescent="0.3">
      <c r="B70" s="5"/>
    </row>
    <row r="71" spans="1:10" ht="18.75" x14ac:dyDescent="0.3">
      <c r="B71" s="5"/>
    </row>
    <row r="72" spans="1:10" ht="18.75" x14ac:dyDescent="0.3">
      <c r="B72" s="5"/>
    </row>
    <row r="73" spans="1:10" ht="18.75" x14ac:dyDescent="0.3">
      <c r="B73" s="5"/>
    </row>
    <row r="74" spans="1:10" ht="18.75" x14ac:dyDescent="0.3">
      <c r="B74" s="5"/>
    </row>
    <row r="75" spans="1:10" x14ac:dyDescent="0.25">
      <c r="A75" s="61"/>
      <c r="B75" s="61"/>
      <c r="C75" s="80"/>
      <c r="D75" s="60"/>
      <c r="E75" s="60"/>
      <c r="F75" s="60"/>
      <c r="G75" s="61"/>
    </row>
    <row r="76" spans="1:10" ht="18.75" x14ac:dyDescent="0.3">
      <c r="B76" s="5" t="s">
        <v>80</v>
      </c>
    </row>
    <row r="77" spans="1:10" ht="18.75" x14ac:dyDescent="0.3">
      <c r="B77" s="5" t="s">
        <v>64</v>
      </c>
    </row>
    <row r="78" spans="1:10" ht="18.75" x14ac:dyDescent="0.3">
      <c r="B78" s="5" t="s">
        <v>271</v>
      </c>
    </row>
    <row r="79" spans="1:10" ht="18.75" x14ac:dyDescent="0.3">
      <c r="B79" s="5" t="s">
        <v>388</v>
      </c>
    </row>
    <row r="80" spans="1:10" ht="18.75" x14ac:dyDescent="0.3">
      <c r="B80" s="5"/>
    </row>
    <row r="81" spans="1:10" x14ac:dyDescent="0.25">
      <c r="A81" s="3" t="s">
        <v>163</v>
      </c>
      <c r="B81" s="3" t="s">
        <v>164</v>
      </c>
      <c r="C81" s="59" t="s">
        <v>361</v>
      </c>
      <c r="D81" s="13">
        <v>43466</v>
      </c>
      <c r="E81" s="13">
        <v>43497</v>
      </c>
      <c r="F81" s="13">
        <v>43525</v>
      </c>
      <c r="G81" s="13">
        <v>43556</v>
      </c>
      <c r="H81" s="13">
        <v>43586</v>
      </c>
      <c r="I81" s="13">
        <v>43617</v>
      </c>
      <c r="J81" s="1" t="s">
        <v>81</v>
      </c>
    </row>
    <row r="82" spans="1:10" x14ac:dyDescent="0.25">
      <c r="A82" s="38">
        <v>1</v>
      </c>
      <c r="B82" s="1" t="s">
        <v>199</v>
      </c>
      <c r="C82" s="14">
        <v>275000</v>
      </c>
      <c r="D82" s="1"/>
      <c r="E82" s="1">
        <v>216500</v>
      </c>
      <c r="F82" s="1"/>
      <c r="G82" s="70"/>
      <c r="H82" s="1"/>
      <c r="I82" s="1"/>
      <c r="J82" s="70">
        <f>SUM(C82:I82)</f>
        <v>491500</v>
      </c>
    </row>
    <row r="83" spans="1:10" x14ac:dyDescent="0.25">
      <c r="A83" s="38"/>
      <c r="B83" s="1" t="s">
        <v>202</v>
      </c>
      <c r="C83" s="14">
        <v>105000</v>
      </c>
      <c r="D83" s="1"/>
      <c r="E83" s="1"/>
      <c r="F83" s="1"/>
      <c r="G83" s="70"/>
      <c r="H83" s="1"/>
      <c r="I83" s="1"/>
      <c r="J83" s="70">
        <f t="shared" ref="J83:J88" si="5">SUM(C83:I83)</f>
        <v>105000</v>
      </c>
    </row>
    <row r="84" spans="1:10" x14ac:dyDescent="0.25">
      <c r="A84" s="38">
        <v>2</v>
      </c>
      <c r="B84" s="1" t="s">
        <v>223</v>
      </c>
      <c r="C84" s="14">
        <v>1874900</v>
      </c>
      <c r="D84" s="1"/>
      <c r="E84" s="1"/>
      <c r="F84" s="1"/>
      <c r="G84" s="70"/>
      <c r="H84" s="1"/>
      <c r="I84" s="1"/>
      <c r="J84" s="70">
        <f t="shared" si="5"/>
        <v>1874900</v>
      </c>
    </row>
    <row r="85" spans="1:10" x14ac:dyDescent="0.25">
      <c r="A85" s="38">
        <v>3</v>
      </c>
      <c r="B85" s="1" t="s">
        <v>222</v>
      </c>
      <c r="C85" s="14">
        <v>565000</v>
      </c>
      <c r="D85" s="1"/>
      <c r="E85" s="1"/>
      <c r="F85" s="1"/>
      <c r="G85" s="70"/>
      <c r="H85" s="1"/>
      <c r="I85" s="1"/>
      <c r="J85" s="70">
        <f t="shared" si="5"/>
        <v>565000</v>
      </c>
    </row>
    <row r="86" spans="1:10" x14ac:dyDescent="0.25">
      <c r="A86" s="38">
        <v>4</v>
      </c>
      <c r="B86" s="1" t="s">
        <v>231</v>
      </c>
      <c r="C86" s="14">
        <v>536000</v>
      </c>
      <c r="D86" s="1"/>
      <c r="E86" s="1"/>
      <c r="F86" s="1"/>
      <c r="G86" s="70"/>
      <c r="H86" s="1"/>
      <c r="I86" s="1"/>
      <c r="J86" s="70">
        <f t="shared" si="5"/>
        <v>536000</v>
      </c>
    </row>
    <row r="87" spans="1:10" x14ac:dyDescent="0.25">
      <c r="A87" s="38">
        <v>5</v>
      </c>
      <c r="B87" s="38" t="s">
        <v>241</v>
      </c>
      <c r="C87" s="27">
        <v>700000</v>
      </c>
      <c r="D87" s="1"/>
      <c r="E87" s="1"/>
      <c r="F87" s="1"/>
      <c r="G87" s="72"/>
      <c r="H87" s="1"/>
      <c r="I87" s="1"/>
      <c r="J87" s="70">
        <f t="shared" si="5"/>
        <v>700000</v>
      </c>
    </row>
    <row r="88" spans="1:10" x14ac:dyDescent="0.25">
      <c r="A88" s="38">
        <v>6</v>
      </c>
      <c r="B88" s="38" t="s">
        <v>309</v>
      </c>
      <c r="C88" s="27">
        <v>20000</v>
      </c>
      <c r="D88" s="1"/>
      <c r="E88" s="1"/>
      <c r="F88" s="1"/>
      <c r="G88" s="72"/>
      <c r="H88" s="1"/>
      <c r="I88" s="1"/>
      <c r="J88" s="70">
        <f t="shared" si="5"/>
        <v>20000</v>
      </c>
    </row>
    <row r="89" spans="1:10" x14ac:dyDescent="0.25">
      <c r="A89" s="1"/>
      <c r="B89" s="71" t="s">
        <v>138</v>
      </c>
      <c r="C89" s="15">
        <f>SUM(C82:C88)</f>
        <v>4075900</v>
      </c>
      <c r="D89" s="15">
        <f>SUM(D82:D87)</f>
        <v>0</v>
      </c>
      <c r="E89" s="15">
        <f>SUM(E82:E88)</f>
        <v>216500</v>
      </c>
      <c r="F89" s="15">
        <f>SUM(F82:F87)</f>
        <v>0</v>
      </c>
      <c r="G89" s="15">
        <f>SUM(G82:G87)</f>
        <v>0</v>
      </c>
      <c r="H89" s="1"/>
      <c r="I89" s="15">
        <f>SUM(I82:I88)</f>
        <v>0</v>
      </c>
      <c r="J89" s="15">
        <f>SUM(J82:J88)</f>
        <v>4292400</v>
      </c>
    </row>
    <row r="90" spans="1:10" x14ac:dyDescent="0.25">
      <c r="A90" s="22"/>
      <c r="B90" s="85"/>
      <c r="C90" s="86"/>
      <c r="D90" s="86"/>
      <c r="E90" s="86"/>
      <c r="F90" s="86"/>
      <c r="G90" s="86"/>
      <c r="H90" s="22"/>
      <c r="I90" s="22"/>
      <c r="J90" s="86"/>
    </row>
    <row r="91" spans="1:10" x14ac:dyDescent="0.25">
      <c r="A91" s="22"/>
      <c r="B91" s="85"/>
      <c r="C91" s="86"/>
      <c r="D91" s="86"/>
      <c r="E91" s="86"/>
      <c r="F91" s="86"/>
      <c r="G91" s="86"/>
      <c r="H91" s="22"/>
      <c r="I91" s="22"/>
      <c r="J91" s="86"/>
    </row>
    <row r="92" spans="1:10" ht="18.75" x14ac:dyDescent="0.3">
      <c r="B92" s="5" t="s">
        <v>80</v>
      </c>
    </row>
    <row r="93" spans="1:10" ht="18.75" x14ac:dyDescent="0.3">
      <c r="B93" s="5" t="s">
        <v>64</v>
      </c>
    </row>
    <row r="94" spans="1:10" ht="18.75" x14ac:dyDescent="0.3">
      <c r="B94" s="5" t="s">
        <v>272</v>
      </c>
    </row>
    <row r="95" spans="1:10" ht="18.75" x14ac:dyDescent="0.3">
      <c r="B95" s="5" t="s">
        <v>388</v>
      </c>
    </row>
    <row r="96" spans="1:10" ht="18.75" x14ac:dyDescent="0.3">
      <c r="B96" s="5"/>
    </row>
    <row r="97" spans="1:10" x14ac:dyDescent="0.25">
      <c r="A97" s="3" t="s">
        <v>163</v>
      </c>
      <c r="B97" s="3" t="s">
        <v>164</v>
      </c>
      <c r="C97" s="59" t="s">
        <v>361</v>
      </c>
      <c r="D97" s="13">
        <v>43466</v>
      </c>
      <c r="E97" s="13">
        <v>43497</v>
      </c>
      <c r="F97" s="13">
        <v>43525</v>
      </c>
      <c r="G97" s="13">
        <v>43556</v>
      </c>
      <c r="H97" s="13">
        <v>43586</v>
      </c>
      <c r="I97" s="13">
        <v>43617</v>
      </c>
      <c r="J97" s="3" t="s">
        <v>166</v>
      </c>
    </row>
    <row r="98" spans="1:10" x14ac:dyDescent="0.25">
      <c r="A98" s="38">
        <v>1</v>
      </c>
      <c r="B98" s="1" t="s">
        <v>199</v>
      </c>
      <c r="C98" s="14"/>
      <c r="D98" s="1"/>
      <c r="E98" s="1"/>
      <c r="F98" s="1"/>
      <c r="G98" s="70"/>
      <c r="H98" s="1"/>
      <c r="I98" s="1"/>
      <c r="J98" s="70">
        <f>SUM(C98:I98)</f>
        <v>0</v>
      </c>
    </row>
    <row r="99" spans="1:10" x14ac:dyDescent="0.25">
      <c r="A99" s="38"/>
      <c r="B99" s="1" t="s">
        <v>202</v>
      </c>
      <c r="C99" s="14">
        <v>0</v>
      </c>
      <c r="D99" s="1"/>
      <c r="E99" s="1"/>
      <c r="F99" s="1"/>
      <c r="G99" s="70"/>
      <c r="H99" s="1"/>
      <c r="I99" s="1"/>
      <c r="J99" s="70">
        <f t="shared" ref="J99:J104" si="6">SUM(C99:I99)</f>
        <v>0</v>
      </c>
    </row>
    <row r="100" spans="1:10" x14ac:dyDescent="0.25">
      <c r="A100" s="38">
        <v>2</v>
      </c>
      <c r="B100" s="1" t="s">
        <v>223</v>
      </c>
      <c r="C100" s="14">
        <v>1553900</v>
      </c>
      <c r="D100" s="1"/>
      <c r="E100" s="1"/>
      <c r="F100" s="1"/>
      <c r="G100" s="70"/>
      <c r="H100" s="1"/>
      <c r="I100" s="1">
        <v>321000</v>
      </c>
      <c r="J100" s="70">
        <f t="shared" si="6"/>
        <v>1874900</v>
      </c>
    </row>
    <row r="101" spans="1:10" x14ac:dyDescent="0.25">
      <c r="A101" s="38">
        <v>3</v>
      </c>
      <c r="B101" s="1" t="s">
        <v>222</v>
      </c>
      <c r="C101" s="14">
        <v>486000</v>
      </c>
      <c r="D101" s="1"/>
      <c r="E101" s="1">
        <v>79000</v>
      </c>
      <c r="F101" s="1"/>
      <c r="G101" s="70"/>
      <c r="H101" s="1"/>
      <c r="I101" s="1"/>
      <c r="J101" s="70">
        <f t="shared" si="6"/>
        <v>565000</v>
      </c>
    </row>
    <row r="102" spans="1:10" x14ac:dyDescent="0.25">
      <c r="A102" s="38">
        <v>4</v>
      </c>
      <c r="B102" s="1" t="s">
        <v>231</v>
      </c>
      <c r="C102" s="14">
        <v>500000</v>
      </c>
      <c r="D102" s="1"/>
      <c r="E102" s="1">
        <v>36000</v>
      </c>
      <c r="F102" s="1"/>
      <c r="G102" s="70"/>
      <c r="H102" s="1"/>
      <c r="I102" s="1"/>
      <c r="J102" s="70">
        <f t="shared" si="6"/>
        <v>536000</v>
      </c>
    </row>
    <row r="103" spans="1:10" x14ac:dyDescent="0.25">
      <c r="A103" s="38">
        <v>5</v>
      </c>
      <c r="B103" s="38" t="s">
        <v>241</v>
      </c>
      <c r="C103" s="27">
        <v>483500</v>
      </c>
      <c r="D103" s="70"/>
      <c r="E103" s="1">
        <v>216500</v>
      </c>
      <c r="F103" s="1"/>
      <c r="G103" s="72"/>
      <c r="H103" s="1"/>
      <c r="I103" s="1"/>
      <c r="J103" s="70">
        <f t="shared" si="6"/>
        <v>700000</v>
      </c>
    </row>
    <row r="104" spans="1:10" x14ac:dyDescent="0.25">
      <c r="A104" s="38">
        <v>6</v>
      </c>
      <c r="B104" s="38" t="s">
        <v>309</v>
      </c>
      <c r="C104" s="27">
        <v>20000</v>
      </c>
      <c r="D104" s="70"/>
      <c r="E104" s="1"/>
      <c r="F104" s="1"/>
      <c r="G104" s="72"/>
      <c r="H104" s="1"/>
      <c r="I104" s="1"/>
      <c r="J104" s="70">
        <f t="shared" si="6"/>
        <v>20000</v>
      </c>
    </row>
    <row r="105" spans="1:10" x14ac:dyDescent="0.25">
      <c r="A105" s="1"/>
      <c r="B105" s="71" t="s">
        <v>138</v>
      </c>
      <c r="C105" s="70">
        <f>SUM(C98:C104)</f>
        <v>3043400</v>
      </c>
      <c r="D105" s="15">
        <f>SUM(D98:D104)</f>
        <v>0</v>
      </c>
      <c r="E105" s="15">
        <f>SUM(E98:E103)</f>
        <v>331500</v>
      </c>
      <c r="F105" s="15">
        <f>SUM(F98:F103)</f>
        <v>0</v>
      </c>
      <c r="G105" s="15">
        <f>SUM(G98:G103)</f>
        <v>0</v>
      </c>
      <c r="H105" s="15">
        <f>SUM(H98:H103)</f>
        <v>0</v>
      </c>
      <c r="I105" s="15">
        <f>SUM(I98:I103)</f>
        <v>321000</v>
      </c>
      <c r="J105" s="70">
        <f>SUM(J98:J104)</f>
        <v>3695900</v>
      </c>
    </row>
    <row r="111" spans="1:10" ht="18.75" x14ac:dyDescent="0.3">
      <c r="B111" s="5" t="s">
        <v>80</v>
      </c>
    </row>
    <row r="112" spans="1:10" ht="18.75" x14ac:dyDescent="0.3">
      <c r="B112" s="5" t="s">
        <v>64</v>
      </c>
    </row>
    <row r="113" spans="1:10" ht="18.75" x14ac:dyDescent="0.3">
      <c r="B113" s="5" t="s">
        <v>279</v>
      </c>
    </row>
    <row r="114" spans="1:10" ht="18.75" x14ac:dyDescent="0.3">
      <c r="B114" s="5" t="s">
        <v>388</v>
      </c>
    </row>
    <row r="116" spans="1:10" x14ac:dyDescent="0.25">
      <c r="A116" s="3" t="s">
        <v>163</v>
      </c>
      <c r="B116" s="3" t="s">
        <v>164</v>
      </c>
      <c r="C116" s="59" t="s">
        <v>281</v>
      </c>
      <c r="D116" s="13" t="s">
        <v>280</v>
      </c>
      <c r="E116" s="13" t="s">
        <v>280</v>
      </c>
      <c r="F116" s="13" t="s">
        <v>280</v>
      </c>
      <c r="G116" s="13" t="s">
        <v>280</v>
      </c>
      <c r="H116" s="13" t="s">
        <v>280</v>
      </c>
      <c r="I116" s="13" t="s">
        <v>280</v>
      </c>
      <c r="J116" s="3" t="s">
        <v>166</v>
      </c>
    </row>
    <row r="117" spans="1:10" x14ac:dyDescent="0.25">
      <c r="A117" s="38">
        <v>1</v>
      </c>
      <c r="B117" s="1" t="s">
        <v>199</v>
      </c>
      <c r="C117" s="14">
        <v>491500</v>
      </c>
      <c r="D117" s="1">
        <v>0</v>
      </c>
      <c r="E117" s="1">
        <v>0</v>
      </c>
      <c r="F117" s="1"/>
      <c r="G117" s="70"/>
      <c r="H117" s="1"/>
      <c r="I117" s="1"/>
      <c r="J117" s="70">
        <f>C117-D117-E117-F117-G117-H117-I117</f>
        <v>491500</v>
      </c>
    </row>
    <row r="118" spans="1:10" x14ac:dyDescent="0.25">
      <c r="A118" s="38"/>
      <c r="B118" s="1" t="s">
        <v>202</v>
      </c>
      <c r="C118" s="14">
        <v>105000</v>
      </c>
      <c r="D118" s="1">
        <v>0</v>
      </c>
      <c r="E118" s="1">
        <v>0</v>
      </c>
      <c r="F118" s="1"/>
      <c r="G118" s="70"/>
      <c r="H118" s="1"/>
      <c r="I118" s="1"/>
      <c r="J118" s="70">
        <f t="shared" ref="J118:J123" si="7">C118-D118-E118-F118-G118-H118-I118</f>
        <v>105000</v>
      </c>
    </row>
    <row r="119" spans="1:10" x14ac:dyDescent="0.25">
      <c r="A119" s="38">
        <v>2</v>
      </c>
      <c r="B119" s="1" t="s">
        <v>223</v>
      </c>
      <c r="C119" s="14">
        <v>1874900</v>
      </c>
      <c r="D119" s="1">
        <v>1553900</v>
      </c>
      <c r="E119" s="1">
        <v>0</v>
      </c>
      <c r="F119" s="1">
        <v>321000</v>
      </c>
      <c r="G119" s="70"/>
      <c r="H119" s="1"/>
      <c r="I119" s="1"/>
      <c r="J119" s="70">
        <f t="shared" si="7"/>
        <v>0</v>
      </c>
    </row>
    <row r="120" spans="1:10" x14ac:dyDescent="0.25">
      <c r="A120" s="38">
        <v>3</v>
      </c>
      <c r="B120" s="1" t="s">
        <v>222</v>
      </c>
      <c r="C120" s="14">
        <v>565000</v>
      </c>
      <c r="D120" s="1">
        <v>486000</v>
      </c>
      <c r="E120" s="1">
        <v>79000</v>
      </c>
      <c r="F120" s="1"/>
      <c r="G120" s="70"/>
      <c r="H120" s="1"/>
      <c r="I120" s="1"/>
      <c r="J120" s="70">
        <f t="shared" si="7"/>
        <v>0</v>
      </c>
    </row>
    <row r="121" spans="1:10" x14ac:dyDescent="0.25">
      <c r="A121" s="38">
        <v>4</v>
      </c>
      <c r="B121" s="1" t="s">
        <v>231</v>
      </c>
      <c r="C121" s="14">
        <v>536000</v>
      </c>
      <c r="D121" s="1">
        <v>500000</v>
      </c>
      <c r="E121" s="1">
        <v>36000</v>
      </c>
      <c r="F121" s="1"/>
      <c r="G121" s="70"/>
      <c r="H121" s="1"/>
      <c r="I121" s="1"/>
      <c r="J121" s="70">
        <f t="shared" si="7"/>
        <v>0</v>
      </c>
    </row>
    <row r="122" spans="1:10" x14ac:dyDescent="0.25">
      <c r="A122" s="38">
        <v>5</v>
      </c>
      <c r="B122" s="38" t="s">
        <v>241</v>
      </c>
      <c r="C122" s="27">
        <v>700000</v>
      </c>
      <c r="D122" s="1">
        <v>483500</v>
      </c>
      <c r="E122" s="1">
        <v>216500</v>
      </c>
      <c r="F122" s="1"/>
      <c r="G122" s="72"/>
      <c r="H122" s="1"/>
      <c r="I122" s="1"/>
      <c r="J122" s="70">
        <f t="shared" si="7"/>
        <v>0</v>
      </c>
    </row>
    <row r="123" spans="1:10" x14ac:dyDescent="0.25">
      <c r="A123" s="38">
        <v>6</v>
      </c>
      <c r="B123" s="38" t="s">
        <v>309</v>
      </c>
      <c r="C123" s="27">
        <v>20000</v>
      </c>
      <c r="D123" s="1">
        <v>20000</v>
      </c>
      <c r="E123" s="1">
        <v>0</v>
      </c>
      <c r="F123" s="1"/>
      <c r="G123" s="72"/>
      <c r="H123" s="1"/>
      <c r="I123" s="1">
        <v>0</v>
      </c>
      <c r="J123" s="70">
        <f t="shared" si="7"/>
        <v>0</v>
      </c>
    </row>
    <row r="124" spans="1:10" x14ac:dyDescent="0.25">
      <c r="A124" s="1"/>
      <c r="B124" s="71" t="s">
        <v>138</v>
      </c>
      <c r="C124" s="15">
        <f>SUM(C117:C123)</f>
        <v>4292400</v>
      </c>
      <c r="D124" s="15">
        <f>SUM(D117:D123)</f>
        <v>3043400</v>
      </c>
      <c r="E124" s="15">
        <f>SUM(E117:E123)</f>
        <v>331500</v>
      </c>
      <c r="F124" s="15">
        <f>SUM(F117:F122)</f>
        <v>321000</v>
      </c>
      <c r="G124" s="15">
        <f>SUM(G117:G122)</f>
        <v>0</v>
      </c>
      <c r="H124" s="1">
        <f>SUM(H117:H123)</f>
        <v>0</v>
      </c>
      <c r="I124" s="1">
        <f>SUM(I117:I123)</f>
        <v>0</v>
      </c>
      <c r="J124" s="15">
        <f>SUM(J117:J123)</f>
        <v>596500</v>
      </c>
    </row>
    <row r="126" spans="1:10" ht="18.75" x14ac:dyDescent="0.3">
      <c r="B126" s="5" t="s">
        <v>377</v>
      </c>
    </row>
    <row r="127" spans="1:10" ht="18.75" x14ac:dyDescent="0.3">
      <c r="B127" s="5" t="s">
        <v>64</v>
      </c>
    </row>
    <row r="128" spans="1:10" ht="18.75" x14ac:dyDescent="0.3">
      <c r="B128" s="5" t="s">
        <v>388</v>
      </c>
    </row>
    <row r="129" spans="1:10" x14ac:dyDescent="0.25">
      <c r="A129" s="3" t="s">
        <v>163</v>
      </c>
      <c r="B129" s="3" t="s">
        <v>164</v>
      </c>
      <c r="C129" s="59" t="s">
        <v>361</v>
      </c>
      <c r="D129" s="13">
        <v>43466</v>
      </c>
      <c r="E129" s="13">
        <v>43497</v>
      </c>
      <c r="F129" s="13">
        <v>43525</v>
      </c>
      <c r="G129" s="13">
        <v>43556</v>
      </c>
      <c r="H129" s="13">
        <v>43586</v>
      </c>
      <c r="I129" s="13">
        <v>43617</v>
      </c>
      <c r="J129" s="1" t="s">
        <v>81</v>
      </c>
    </row>
    <row r="130" spans="1:10" x14ac:dyDescent="0.25">
      <c r="A130" s="38">
        <v>1</v>
      </c>
      <c r="B130" s="59" t="s">
        <v>360</v>
      </c>
      <c r="C130" s="14">
        <v>0</v>
      </c>
      <c r="D130" s="14">
        <v>30000</v>
      </c>
      <c r="E130" s="1"/>
      <c r="F130" s="1"/>
      <c r="G130" s="70"/>
      <c r="H130" s="1"/>
      <c r="I130" s="1"/>
      <c r="J130" s="70">
        <f t="shared" ref="J130:J136" si="8">SUM(C130:I130)</f>
        <v>30000</v>
      </c>
    </row>
    <row r="131" spans="1:10" x14ac:dyDescent="0.25">
      <c r="A131" s="38"/>
      <c r="B131" s="1"/>
      <c r="C131" s="14"/>
      <c r="D131" s="1"/>
      <c r="E131" s="1"/>
      <c r="F131" s="1"/>
      <c r="G131" s="70"/>
      <c r="H131" s="1"/>
      <c r="I131" s="1"/>
      <c r="J131" s="70">
        <f t="shared" si="8"/>
        <v>0</v>
      </c>
    </row>
    <row r="132" spans="1:10" x14ac:dyDescent="0.25">
      <c r="A132" s="38"/>
      <c r="B132" s="1"/>
      <c r="C132" s="14"/>
      <c r="D132" s="1"/>
      <c r="E132" s="1"/>
      <c r="F132" s="1"/>
      <c r="G132" s="70"/>
      <c r="H132" s="1"/>
      <c r="I132" s="1"/>
      <c r="J132" s="70">
        <f t="shared" si="8"/>
        <v>0</v>
      </c>
    </row>
    <row r="133" spans="1:10" x14ac:dyDescent="0.25">
      <c r="A133" s="38"/>
      <c r="B133" s="1"/>
      <c r="C133" s="14"/>
      <c r="D133" s="1"/>
      <c r="E133" s="1"/>
      <c r="F133" s="1"/>
      <c r="G133" s="70"/>
      <c r="H133" s="1"/>
      <c r="I133" s="1"/>
      <c r="J133" s="70">
        <f t="shared" si="8"/>
        <v>0</v>
      </c>
    </row>
    <row r="134" spans="1:10" x14ac:dyDescent="0.25">
      <c r="A134" s="38"/>
      <c r="B134" s="1"/>
      <c r="C134" s="14"/>
      <c r="D134" s="1"/>
      <c r="E134" s="1"/>
      <c r="F134" s="1"/>
      <c r="G134" s="70"/>
      <c r="H134" s="1"/>
      <c r="I134" s="1"/>
      <c r="J134" s="70">
        <f t="shared" si="8"/>
        <v>0</v>
      </c>
    </row>
    <row r="135" spans="1:10" x14ac:dyDescent="0.25">
      <c r="A135" s="38"/>
      <c r="B135" s="38"/>
      <c r="C135" s="27"/>
      <c r="D135" s="1"/>
      <c r="E135" s="1"/>
      <c r="F135" s="1"/>
      <c r="G135" s="72"/>
      <c r="H135" s="1"/>
      <c r="I135" s="1"/>
      <c r="J135" s="70">
        <f t="shared" si="8"/>
        <v>0</v>
      </c>
    </row>
    <row r="136" spans="1:10" x14ac:dyDescent="0.25">
      <c r="A136" s="38"/>
      <c r="B136" s="38"/>
      <c r="C136" s="27"/>
      <c r="D136" s="1"/>
      <c r="E136" s="1"/>
      <c r="F136" s="1"/>
      <c r="G136" s="72"/>
      <c r="H136" s="1"/>
      <c r="I136" s="1"/>
      <c r="J136" s="70">
        <f t="shared" si="8"/>
        <v>0</v>
      </c>
    </row>
    <row r="137" spans="1:10" x14ac:dyDescent="0.25">
      <c r="A137" s="1"/>
      <c r="B137" s="71" t="s">
        <v>138</v>
      </c>
      <c r="C137" s="15">
        <f>SUM(C130:C136)</f>
        <v>0</v>
      </c>
      <c r="D137" s="15">
        <f>SUM(D130:D136)</f>
        <v>30000</v>
      </c>
      <c r="E137" s="15">
        <f>SUM(E130:E135)</f>
        <v>0</v>
      </c>
      <c r="F137" s="15">
        <f>SUM(F130:F135)</f>
        <v>0</v>
      </c>
      <c r="G137" s="15">
        <f>SUM(G130:G135)</f>
        <v>0</v>
      </c>
      <c r="H137" s="1">
        <f>SUM(H130:H136)</f>
        <v>0</v>
      </c>
      <c r="I137" s="1">
        <f>SUM(I130:I136)</f>
        <v>0</v>
      </c>
      <c r="J137" s="15">
        <f>SUM(J130:J136)</f>
        <v>30000</v>
      </c>
    </row>
    <row r="142" spans="1:10" x14ac:dyDescent="0.25">
      <c r="A142" s="95"/>
      <c r="B142" s="12" t="s">
        <v>80</v>
      </c>
    </row>
    <row r="143" spans="1:10" x14ac:dyDescent="0.25">
      <c r="A143" s="95"/>
      <c r="B143" s="12" t="s">
        <v>64</v>
      </c>
    </row>
    <row r="144" spans="1:10" x14ac:dyDescent="0.25">
      <c r="A144" s="95"/>
      <c r="B144" s="12" t="s">
        <v>162</v>
      </c>
    </row>
    <row r="145" spans="1:10" x14ac:dyDescent="0.25">
      <c r="A145" s="95"/>
      <c r="B145" s="12" t="s">
        <v>389</v>
      </c>
    </row>
    <row r="146" spans="1:10" x14ac:dyDescent="0.25">
      <c r="A146" s="95"/>
      <c r="B146" s="12"/>
    </row>
    <row r="147" spans="1:10" x14ac:dyDescent="0.25">
      <c r="A147" s="3" t="s">
        <v>163</v>
      </c>
      <c r="B147" s="3" t="s">
        <v>164</v>
      </c>
      <c r="C147" s="59" t="s">
        <v>362</v>
      </c>
      <c r="D147" s="13">
        <v>43466</v>
      </c>
      <c r="E147" s="13">
        <v>43497</v>
      </c>
      <c r="F147" s="13">
        <v>43525</v>
      </c>
      <c r="G147" s="13">
        <v>43556</v>
      </c>
      <c r="H147" s="13">
        <v>43586</v>
      </c>
      <c r="I147" s="13">
        <v>43617</v>
      </c>
      <c r="J147" s="3" t="s">
        <v>313</v>
      </c>
    </row>
    <row r="148" spans="1:10" x14ac:dyDescent="0.25">
      <c r="A148" s="1">
        <v>1</v>
      </c>
      <c r="B148" s="1" t="s">
        <v>167</v>
      </c>
      <c r="C148" s="27">
        <v>800000</v>
      </c>
      <c r="D148" s="27">
        <v>200000</v>
      </c>
      <c r="E148" s="27">
        <v>0</v>
      </c>
      <c r="F148" s="27"/>
      <c r="G148" s="27">
        <v>0</v>
      </c>
      <c r="H148" s="38">
        <v>0</v>
      </c>
      <c r="I148" s="38">
        <v>100000</v>
      </c>
      <c r="J148" s="72">
        <f>SUM(C148:I148)</f>
        <v>1100000</v>
      </c>
    </row>
    <row r="149" spans="1:10" x14ac:dyDescent="0.25">
      <c r="A149" s="1">
        <v>2</v>
      </c>
      <c r="B149" s="1" t="s">
        <v>168</v>
      </c>
      <c r="C149" s="27">
        <v>522000</v>
      </c>
      <c r="D149" s="27">
        <v>0</v>
      </c>
      <c r="E149" s="27">
        <v>0</v>
      </c>
      <c r="F149" s="27"/>
      <c r="G149" s="27">
        <v>0</v>
      </c>
      <c r="H149" s="38">
        <v>0</v>
      </c>
      <c r="I149" s="38">
        <v>0</v>
      </c>
      <c r="J149" s="72">
        <f t="shared" ref="J149:J193" si="9">SUM(C149:I149)</f>
        <v>522000</v>
      </c>
    </row>
    <row r="150" spans="1:10" x14ac:dyDescent="0.25">
      <c r="A150" s="1">
        <v>3</v>
      </c>
      <c r="B150" s="1" t="s">
        <v>169</v>
      </c>
      <c r="C150" s="27">
        <v>1100000</v>
      </c>
      <c r="D150" s="27">
        <v>25000</v>
      </c>
      <c r="E150" s="27">
        <v>25000</v>
      </c>
      <c r="F150" s="27">
        <v>20000</v>
      </c>
      <c r="G150" s="27">
        <v>25000</v>
      </c>
      <c r="H150" s="38">
        <v>40000</v>
      </c>
      <c r="I150" s="38">
        <v>0</v>
      </c>
      <c r="J150" s="72">
        <f t="shared" si="9"/>
        <v>1235000</v>
      </c>
    </row>
    <row r="151" spans="1:10" x14ac:dyDescent="0.25">
      <c r="A151" s="1">
        <v>4</v>
      </c>
      <c r="B151" s="1" t="s">
        <v>170</v>
      </c>
      <c r="C151" s="27">
        <v>550000</v>
      </c>
      <c r="D151" s="27">
        <v>0</v>
      </c>
      <c r="E151" s="27">
        <v>0</v>
      </c>
      <c r="F151" s="27"/>
      <c r="G151" s="27">
        <v>0</v>
      </c>
      <c r="H151" s="38">
        <v>20000</v>
      </c>
      <c r="I151" s="38">
        <v>0</v>
      </c>
      <c r="J151" s="72">
        <f t="shared" si="9"/>
        <v>570000</v>
      </c>
    </row>
    <row r="152" spans="1:10" x14ac:dyDescent="0.25">
      <c r="A152" s="1">
        <v>5</v>
      </c>
      <c r="B152" s="1" t="s">
        <v>171</v>
      </c>
      <c r="C152" s="27">
        <v>950500</v>
      </c>
      <c r="D152" s="27">
        <v>60000</v>
      </c>
      <c r="E152" s="27">
        <v>6000</v>
      </c>
      <c r="F152" s="27">
        <v>125000</v>
      </c>
      <c r="G152" s="27">
        <v>12000</v>
      </c>
      <c r="H152" s="38">
        <v>50000</v>
      </c>
      <c r="I152" s="38">
        <v>40000</v>
      </c>
      <c r="J152" s="72">
        <f t="shared" si="9"/>
        <v>1243500</v>
      </c>
    </row>
    <row r="153" spans="1:10" x14ac:dyDescent="0.25">
      <c r="A153" s="1">
        <v>6</v>
      </c>
      <c r="B153" s="1" t="s">
        <v>174</v>
      </c>
      <c r="C153" s="27">
        <v>1180000</v>
      </c>
      <c r="D153" s="27">
        <v>0</v>
      </c>
      <c r="E153" s="27">
        <v>0</v>
      </c>
      <c r="F153" s="27">
        <v>0</v>
      </c>
      <c r="G153" s="27">
        <v>0</v>
      </c>
      <c r="H153" s="38">
        <v>0</v>
      </c>
      <c r="I153" s="38"/>
      <c r="J153" s="72">
        <f t="shared" si="9"/>
        <v>1180000</v>
      </c>
    </row>
    <row r="154" spans="1:10" x14ac:dyDescent="0.25">
      <c r="A154" s="1">
        <v>7</v>
      </c>
      <c r="B154" s="1" t="s">
        <v>172</v>
      </c>
      <c r="C154" s="27">
        <v>1200000</v>
      </c>
      <c r="D154" s="27">
        <v>0</v>
      </c>
      <c r="E154" s="27">
        <v>0</v>
      </c>
      <c r="F154" s="27">
        <v>0</v>
      </c>
      <c r="G154" s="27">
        <v>0</v>
      </c>
      <c r="H154" s="38">
        <v>0</v>
      </c>
      <c r="I154" s="38"/>
      <c r="J154" s="72">
        <f t="shared" si="9"/>
        <v>1200000</v>
      </c>
    </row>
    <row r="155" spans="1:10" x14ac:dyDescent="0.25">
      <c r="A155" s="1">
        <v>8</v>
      </c>
      <c r="B155" s="1" t="s">
        <v>173</v>
      </c>
      <c r="C155" s="27">
        <v>860000</v>
      </c>
      <c r="D155" s="27">
        <v>0</v>
      </c>
      <c r="E155" s="27">
        <v>40000</v>
      </c>
      <c r="F155" s="27">
        <v>0</v>
      </c>
      <c r="G155" s="27">
        <v>0</v>
      </c>
      <c r="H155" s="38">
        <v>0</v>
      </c>
      <c r="I155" s="38"/>
      <c r="J155" s="72">
        <f t="shared" si="9"/>
        <v>900000</v>
      </c>
    </row>
    <row r="156" spans="1:10" x14ac:dyDescent="0.25">
      <c r="A156" s="114">
        <v>9</v>
      </c>
      <c r="B156" s="115" t="s">
        <v>176</v>
      </c>
      <c r="C156" s="116">
        <v>575000</v>
      </c>
      <c r="D156" s="116">
        <v>0</v>
      </c>
      <c r="E156" s="116">
        <v>0</v>
      </c>
      <c r="F156" s="116">
        <v>0</v>
      </c>
      <c r="G156" s="116">
        <v>0</v>
      </c>
      <c r="H156" s="115">
        <v>0</v>
      </c>
      <c r="I156" s="115"/>
      <c r="J156" s="117">
        <f t="shared" si="9"/>
        <v>575000</v>
      </c>
    </row>
    <row r="157" spans="1:10" x14ac:dyDescent="0.25">
      <c r="A157" s="1">
        <v>10</v>
      </c>
      <c r="B157" s="1" t="s">
        <v>177</v>
      </c>
      <c r="C157" s="27">
        <v>530000</v>
      </c>
      <c r="D157" s="27">
        <v>0</v>
      </c>
      <c r="E157" s="27">
        <v>0</v>
      </c>
      <c r="F157" s="27">
        <v>0</v>
      </c>
      <c r="G157" s="27">
        <v>0</v>
      </c>
      <c r="H157" s="38">
        <v>0</v>
      </c>
      <c r="I157" s="38"/>
      <c r="J157" s="72">
        <f t="shared" si="9"/>
        <v>530000</v>
      </c>
    </row>
    <row r="158" spans="1:10" x14ac:dyDescent="0.25">
      <c r="A158" s="1">
        <v>11</v>
      </c>
      <c r="B158" s="1" t="s">
        <v>178</v>
      </c>
      <c r="C158" s="27">
        <v>1240000</v>
      </c>
      <c r="D158" s="27">
        <v>100000</v>
      </c>
      <c r="E158" s="27">
        <v>0</v>
      </c>
      <c r="F158" s="27">
        <v>0</v>
      </c>
      <c r="G158" s="27">
        <v>0</v>
      </c>
      <c r="H158" s="38">
        <v>0</v>
      </c>
      <c r="I158" s="38"/>
      <c r="J158" s="72">
        <f t="shared" si="9"/>
        <v>1340000</v>
      </c>
    </row>
    <row r="159" spans="1:10" x14ac:dyDescent="0.25">
      <c r="A159" s="1">
        <v>12</v>
      </c>
      <c r="B159" s="1" t="s">
        <v>179</v>
      </c>
      <c r="C159" s="27">
        <v>570000</v>
      </c>
      <c r="D159" s="27">
        <v>0</v>
      </c>
      <c r="E159" s="27">
        <v>0</v>
      </c>
      <c r="F159" s="27">
        <v>0</v>
      </c>
      <c r="G159" s="27">
        <v>0</v>
      </c>
      <c r="H159" s="38">
        <v>0</v>
      </c>
      <c r="I159" s="38">
        <v>0</v>
      </c>
      <c r="J159" s="72">
        <f t="shared" si="9"/>
        <v>570000</v>
      </c>
    </row>
    <row r="160" spans="1:10" x14ac:dyDescent="0.25">
      <c r="A160" s="1">
        <v>13</v>
      </c>
      <c r="B160" s="1" t="s">
        <v>180</v>
      </c>
      <c r="C160" s="27">
        <v>1220000</v>
      </c>
      <c r="D160" s="27">
        <v>60000</v>
      </c>
      <c r="E160" s="27">
        <v>0</v>
      </c>
      <c r="F160" s="27">
        <v>0</v>
      </c>
      <c r="G160" s="27">
        <v>0</v>
      </c>
      <c r="H160" s="38">
        <v>0</v>
      </c>
      <c r="I160" s="38"/>
      <c r="J160" s="72">
        <f t="shared" si="9"/>
        <v>1280000</v>
      </c>
    </row>
    <row r="161" spans="1:10" x14ac:dyDescent="0.25">
      <c r="A161" s="1">
        <v>14</v>
      </c>
      <c r="B161" s="1" t="s">
        <v>181</v>
      </c>
      <c r="C161" s="27">
        <v>1710000</v>
      </c>
      <c r="D161" s="27">
        <v>20000</v>
      </c>
      <c r="E161" s="27">
        <v>20000</v>
      </c>
      <c r="F161" s="27">
        <v>20000</v>
      </c>
      <c r="G161" s="27">
        <v>20000</v>
      </c>
      <c r="H161" s="38">
        <v>20000</v>
      </c>
      <c r="I161" s="38">
        <v>20000</v>
      </c>
      <c r="J161" s="72">
        <f t="shared" si="9"/>
        <v>1830000</v>
      </c>
    </row>
    <row r="162" spans="1:10" x14ac:dyDescent="0.25">
      <c r="A162" s="1">
        <v>15</v>
      </c>
      <c r="B162" s="1" t="s">
        <v>182</v>
      </c>
      <c r="C162" s="27">
        <v>415000</v>
      </c>
      <c r="D162" s="27">
        <v>0</v>
      </c>
      <c r="E162" s="27">
        <v>15000</v>
      </c>
      <c r="F162" s="27">
        <v>15000</v>
      </c>
      <c r="G162" s="27">
        <v>0</v>
      </c>
      <c r="H162" s="38">
        <v>15000</v>
      </c>
      <c r="I162" s="38"/>
      <c r="J162" s="72">
        <f t="shared" si="9"/>
        <v>460000</v>
      </c>
    </row>
    <row r="163" spans="1:10" x14ac:dyDescent="0.25">
      <c r="A163" s="1">
        <v>16</v>
      </c>
      <c r="B163" s="1" t="s">
        <v>183</v>
      </c>
      <c r="C163" s="27">
        <v>565000</v>
      </c>
      <c r="D163" s="27">
        <v>0</v>
      </c>
      <c r="E163" s="27">
        <v>0</v>
      </c>
      <c r="F163" s="27">
        <v>0</v>
      </c>
      <c r="G163" s="27">
        <v>0</v>
      </c>
      <c r="H163" s="38">
        <v>0</v>
      </c>
      <c r="I163" s="38"/>
      <c r="J163" s="72">
        <f t="shared" si="9"/>
        <v>565000</v>
      </c>
    </row>
    <row r="164" spans="1:10" x14ac:dyDescent="0.25">
      <c r="A164" s="1">
        <v>17</v>
      </c>
      <c r="B164" s="1" t="s">
        <v>184</v>
      </c>
      <c r="C164" s="27">
        <v>966400</v>
      </c>
      <c r="D164" s="27">
        <v>0</v>
      </c>
      <c r="E164" s="27">
        <v>0</v>
      </c>
      <c r="F164" s="27">
        <v>0</v>
      </c>
      <c r="G164" s="27">
        <v>0</v>
      </c>
      <c r="H164" s="38">
        <v>160000</v>
      </c>
      <c r="I164" s="38"/>
      <c r="J164" s="72">
        <f t="shared" si="9"/>
        <v>1126400</v>
      </c>
    </row>
    <row r="165" spans="1:10" x14ac:dyDescent="0.25">
      <c r="A165" s="1">
        <v>18</v>
      </c>
      <c r="B165" s="1" t="s">
        <v>185</v>
      </c>
      <c r="C165" s="27">
        <v>1200000</v>
      </c>
      <c r="D165" s="27">
        <v>0</v>
      </c>
      <c r="E165" s="27">
        <v>200000</v>
      </c>
      <c r="F165" s="27">
        <v>0</v>
      </c>
      <c r="G165" s="27">
        <v>0</v>
      </c>
      <c r="H165" s="38">
        <v>0</v>
      </c>
      <c r="I165" s="38"/>
      <c r="J165" s="72">
        <f t="shared" si="9"/>
        <v>1400000</v>
      </c>
    </row>
    <row r="166" spans="1:10" x14ac:dyDescent="0.25">
      <c r="A166" s="1">
        <v>19</v>
      </c>
      <c r="B166" s="1" t="s">
        <v>186</v>
      </c>
      <c r="C166" s="27">
        <v>500000</v>
      </c>
      <c r="D166" s="27">
        <v>0</v>
      </c>
      <c r="E166" s="27">
        <v>0</v>
      </c>
      <c r="F166" s="27">
        <v>0</v>
      </c>
      <c r="G166" s="27">
        <v>0</v>
      </c>
      <c r="H166" s="38">
        <v>0</v>
      </c>
      <c r="I166" s="38">
        <v>0</v>
      </c>
      <c r="J166" s="72">
        <f t="shared" si="9"/>
        <v>500000</v>
      </c>
    </row>
    <row r="167" spans="1:10" x14ac:dyDescent="0.25">
      <c r="A167" s="1">
        <v>20</v>
      </c>
      <c r="B167" s="1" t="s">
        <v>187</v>
      </c>
      <c r="C167" s="27">
        <v>500000</v>
      </c>
      <c r="D167" s="27">
        <v>0</v>
      </c>
      <c r="E167" s="27">
        <v>0</v>
      </c>
      <c r="F167" s="27">
        <v>0</v>
      </c>
      <c r="G167" s="27">
        <v>0</v>
      </c>
      <c r="H167" s="38">
        <v>0</v>
      </c>
      <c r="I167" s="38">
        <v>0</v>
      </c>
      <c r="J167" s="72">
        <f t="shared" si="9"/>
        <v>500000</v>
      </c>
    </row>
    <row r="168" spans="1:10" x14ac:dyDescent="0.25">
      <c r="A168" s="115">
        <v>21</v>
      </c>
      <c r="B168" s="115" t="s">
        <v>188</v>
      </c>
      <c r="C168" s="116">
        <f>550000+50000-100000</f>
        <v>500000</v>
      </c>
      <c r="D168" s="116">
        <v>0</v>
      </c>
      <c r="E168" s="116">
        <v>0</v>
      </c>
      <c r="F168" s="116">
        <v>0</v>
      </c>
      <c r="G168" s="116">
        <v>0</v>
      </c>
      <c r="H168" s="115">
        <v>0</v>
      </c>
      <c r="I168" s="115">
        <v>0</v>
      </c>
      <c r="J168" s="117">
        <f t="shared" si="9"/>
        <v>500000</v>
      </c>
    </row>
    <row r="169" spans="1:10" x14ac:dyDescent="0.25">
      <c r="A169" s="1">
        <v>22</v>
      </c>
      <c r="B169" s="1" t="s">
        <v>189</v>
      </c>
      <c r="C169" s="27">
        <v>1645000</v>
      </c>
      <c r="D169" s="27">
        <v>0</v>
      </c>
      <c r="E169" s="27">
        <v>0</v>
      </c>
      <c r="F169" s="27"/>
      <c r="G169" s="27"/>
      <c r="H169" s="38">
        <v>0</v>
      </c>
      <c r="I169" s="38"/>
      <c r="J169" s="72">
        <f t="shared" si="9"/>
        <v>1645000</v>
      </c>
    </row>
    <row r="170" spans="1:10" x14ac:dyDescent="0.25">
      <c r="A170" s="1">
        <v>23</v>
      </c>
      <c r="B170" s="1" t="s">
        <v>190</v>
      </c>
      <c r="C170" s="27">
        <v>600000</v>
      </c>
      <c r="D170" s="27">
        <v>0</v>
      </c>
      <c r="E170" s="27">
        <v>0</v>
      </c>
      <c r="F170" s="27">
        <v>0</v>
      </c>
      <c r="G170" s="27">
        <v>0</v>
      </c>
      <c r="H170" s="38">
        <v>0</v>
      </c>
      <c r="I170" s="38">
        <v>0</v>
      </c>
      <c r="J170" s="72">
        <f t="shared" si="9"/>
        <v>600000</v>
      </c>
    </row>
    <row r="171" spans="1:10" x14ac:dyDescent="0.25">
      <c r="A171" s="1">
        <v>24</v>
      </c>
      <c r="B171" s="1" t="s">
        <v>191</v>
      </c>
      <c r="C171" s="27">
        <v>679000</v>
      </c>
      <c r="D171" s="27">
        <v>0</v>
      </c>
      <c r="E171" s="27">
        <v>0</v>
      </c>
      <c r="F171" s="27">
        <v>0</v>
      </c>
      <c r="G171" s="27">
        <v>0</v>
      </c>
      <c r="H171" s="38">
        <v>0</v>
      </c>
      <c r="I171" s="38">
        <v>0</v>
      </c>
      <c r="J171" s="72">
        <f t="shared" si="9"/>
        <v>679000</v>
      </c>
    </row>
    <row r="172" spans="1:10" x14ac:dyDescent="0.25">
      <c r="A172" s="115">
        <v>25</v>
      </c>
      <c r="B172" s="115" t="s">
        <v>192</v>
      </c>
      <c r="C172" s="116">
        <v>650000</v>
      </c>
      <c r="D172" s="116">
        <v>0</v>
      </c>
      <c r="E172" s="116">
        <v>0</v>
      </c>
      <c r="F172" s="116"/>
      <c r="G172" s="116">
        <v>0</v>
      </c>
      <c r="H172" s="115">
        <v>100000</v>
      </c>
      <c r="I172" s="115"/>
      <c r="J172" s="117">
        <f t="shared" si="9"/>
        <v>750000</v>
      </c>
    </row>
    <row r="173" spans="1:10" x14ac:dyDescent="0.25">
      <c r="A173" s="1">
        <v>26</v>
      </c>
      <c r="B173" s="1" t="s">
        <v>193</v>
      </c>
      <c r="C173" s="27">
        <v>2460000</v>
      </c>
      <c r="D173" s="27">
        <v>0</v>
      </c>
      <c r="E173" s="27">
        <v>200000</v>
      </c>
      <c r="F173" s="27"/>
      <c r="G173" s="27">
        <v>0</v>
      </c>
      <c r="H173" s="38"/>
      <c r="I173" s="38"/>
      <c r="J173" s="72">
        <f t="shared" si="9"/>
        <v>2660000</v>
      </c>
    </row>
    <row r="174" spans="1:10" x14ac:dyDescent="0.25">
      <c r="A174" s="115">
        <v>27</v>
      </c>
      <c r="B174" s="115" t="s">
        <v>378</v>
      </c>
      <c r="C174" s="116">
        <v>2070000</v>
      </c>
      <c r="D174" s="116">
        <v>0</v>
      </c>
      <c r="E174" s="116">
        <v>100000</v>
      </c>
      <c r="F174" s="116">
        <v>0</v>
      </c>
      <c r="G174" s="116">
        <v>100000</v>
      </c>
      <c r="H174" s="115"/>
      <c r="I174" s="115"/>
      <c r="J174" s="117">
        <f t="shared" si="9"/>
        <v>2270000</v>
      </c>
    </row>
    <row r="175" spans="1:10" x14ac:dyDescent="0.25">
      <c r="A175" s="1">
        <v>28</v>
      </c>
      <c r="B175" s="1" t="s">
        <v>196</v>
      </c>
      <c r="C175" s="27">
        <v>120000</v>
      </c>
      <c r="D175" s="27">
        <v>0</v>
      </c>
      <c r="E175" s="27">
        <v>0</v>
      </c>
      <c r="F175" s="27">
        <v>0</v>
      </c>
      <c r="G175" s="27">
        <v>0</v>
      </c>
      <c r="H175" s="38">
        <v>0</v>
      </c>
      <c r="I175" s="38">
        <v>0</v>
      </c>
      <c r="J175" s="72">
        <f t="shared" si="9"/>
        <v>120000</v>
      </c>
    </row>
    <row r="176" spans="1:10" x14ac:dyDescent="0.25">
      <c r="A176" s="1">
        <v>29</v>
      </c>
      <c r="B176" s="1" t="s">
        <v>197</v>
      </c>
      <c r="C176" s="27">
        <v>1570000</v>
      </c>
      <c r="D176" s="27">
        <v>0</v>
      </c>
      <c r="E176" s="27">
        <v>0</v>
      </c>
      <c r="F176" s="27"/>
      <c r="G176" s="27">
        <v>0</v>
      </c>
      <c r="H176" s="38">
        <v>0</v>
      </c>
      <c r="I176" s="38">
        <v>0</v>
      </c>
      <c r="J176" s="72">
        <f t="shared" si="9"/>
        <v>1570000</v>
      </c>
    </row>
    <row r="177" spans="1:10" x14ac:dyDescent="0.25">
      <c r="A177" s="115">
        <v>30</v>
      </c>
      <c r="B177" s="115" t="s">
        <v>308</v>
      </c>
      <c r="C177" s="116">
        <v>555000</v>
      </c>
      <c r="D177" s="116">
        <v>0</v>
      </c>
      <c r="E177" s="116">
        <v>0</v>
      </c>
      <c r="F177" s="116">
        <v>0</v>
      </c>
      <c r="G177" s="116">
        <v>0</v>
      </c>
      <c r="H177" s="115">
        <v>0</v>
      </c>
      <c r="I177" s="115"/>
      <c r="J177" s="117">
        <f t="shared" si="9"/>
        <v>555000</v>
      </c>
    </row>
    <row r="178" spans="1:10" x14ac:dyDescent="0.25">
      <c r="A178" s="115">
        <v>31</v>
      </c>
      <c r="B178" s="115" t="s">
        <v>201</v>
      </c>
      <c r="C178" s="116">
        <v>700000</v>
      </c>
      <c r="D178" s="116">
        <v>0</v>
      </c>
      <c r="E178" s="116">
        <v>0</v>
      </c>
      <c r="F178" s="116">
        <v>0</v>
      </c>
      <c r="G178" s="116">
        <v>100000</v>
      </c>
      <c r="H178" s="115">
        <v>0</v>
      </c>
      <c r="I178" s="115">
        <v>100000</v>
      </c>
      <c r="J178" s="117">
        <f t="shared" si="9"/>
        <v>900000</v>
      </c>
    </row>
    <row r="179" spans="1:10" x14ac:dyDescent="0.25">
      <c r="A179" s="90">
        <v>32</v>
      </c>
      <c r="B179" s="1" t="s">
        <v>204</v>
      </c>
      <c r="C179" s="27">
        <v>1220058</v>
      </c>
      <c r="D179" s="27">
        <v>0</v>
      </c>
      <c r="E179" s="27">
        <v>0</v>
      </c>
      <c r="F179" s="27">
        <v>100000</v>
      </c>
      <c r="G179" s="27">
        <v>0</v>
      </c>
      <c r="H179" s="38"/>
      <c r="I179" s="38"/>
      <c r="J179" s="72">
        <f t="shared" si="9"/>
        <v>1320058</v>
      </c>
    </row>
    <row r="180" spans="1:10" x14ac:dyDescent="0.25">
      <c r="A180" s="38">
        <v>33</v>
      </c>
      <c r="B180" s="1" t="s">
        <v>205</v>
      </c>
      <c r="C180" s="27">
        <v>600000</v>
      </c>
      <c r="D180" s="27">
        <v>0</v>
      </c>
      <c r="E180" s="27">
        <v>0</v>
      </c>
      <c r="F180" s="27"/>
      <c r="G180" s="27">
        <v>0</v>
      </c>
      <c r="H180" s="1"/>
      <c r="I180" s="1"/>
      <c r="J180" s="70">
        <f t="shared" si="9"/>
        <v>600000</v>
      </c>
    </row>
    <row r="181" spans="1:10" x14ac:dyDescent="0.25">
      <c r="A181" s="38">
        <v>34</v>
      </c>
      <c r="B181" s="1" t="s">
        <v>208</v>
      </c>
      <c r="C181" s="14">
        <v>1300000</v>
      </c>
      <c r="D181" s="14">
        <v>30000</v>
      </c>
      <c r="E181" s="14">
        <v>20000</v>
      </c>
      <c r="F181" s="14">
        <v>10000</v>
      </c>
      <c r="G181" s="14">
        <v>20000</v>
      </c>
      <c r="H181" s="1">
        <v>25000</v>
      </c>
      <c r="I181" s="1">
        <v>15000</v>
      </c>
      <c r="J181" s="70">
        <f t="shared" si="9"/>
        <v>1420000</v>
      </c>
    </row>
    <row r="182" spans="1:10" x14ac:dyDescent="0.25">
      <c r="A182" s="115">
        <v>35</v>
      </c>
      <c r="B182" s="115" t="s">
        <v>230</v>
      </c>
      <c r="C182" s="116">
        <f>600000-50000+100000</f>
        <v>650000</v>
      </c>
      <c r="D182" s="116">
        <v>0</v>
      </c>
      <c r="E182" s="116">
        <v>0</v>
      </c>
      <c r="F182" s="116">
        <v>0</v>
      </c>
      <c r="G182" s="116">
        <v>0</v>
      </c>
      <c r="H182" s="115">
        <v>0</v>
      </c>
      <c r="I182" s="115">
        <v>0</v>
      </c>
      <c r="J182" s="117">
        <f t="shared" si="9"/>
        <v>650000</v>
      </c>
    </row>
    <row r="183" spans="1:10" x14ac:dyDescent="0.25">
      <c r="A183" s="115">
        <v>36</v>
      </c>
      <c r="B183" s="115" t="s">
        <v>236</v>
      </c>
      <c r="C183" s="116">
        <v>1150000</v>
      </c>
      <c r="D183" s="116">
        <v>0</v>
      </c>
      <c r="E183" s="116">
        <v>0</v>
      </c>
      <c r="F183" s="116">
        <v>50000</v>
      </c>
      <c r="G183" s="116">
        <v>0</v>
      </c>
      <c r="H183" s="115">
        <v>0</v>
      </c>
      <c r="I183" s="115">
        <v>269000</v>
      </c>
      <c r="J183" s="117">
        <f t="shared" si="9"/>
        <v>1469000</v>
      </c>
    </row>
    <row r="184" spans="1:10" x14ac:dyDescent="0.25">
      <c r="A184" s="38">
        <v>37</v>
      </c>
      <c r="B184" s="38" t="s">
        <v>285</v>
      </c>
      <c r="C184" s="14">
        <v>500000</v>
      </c>
      <c r="D184" s="14">
        <v>0</v>
      </c>
      <c r="E184" s="14">
        <v>0</v>
      </c>
      <c r="F184" s="14"/>
      <c r="G184" s="14">
        <v>0</v>
      </c>
      <c r="H184" s="1">
        <v>0</v>
      </c>
      <c r="I184" s="1"/>
      <c r="J184" s="70">
        <f t="shared" si="9"/>
        <v>500000</v>
      </c>
    </row>
    <row r="185" spans="1:10" x14ac:dyDescent="0.25">
      <c r="A185" s="115">
        <v>38</v>
      </c>
      <c r="B185" s="115" t="s">
        <v>286</v>
      </c>
      <c r="C185" s="116">
        <v>1250000</v>
      </c>
      <c r="D185" s="116">
        <v>0</v>
      </c>
      <c r="E185" s="116">
        <v>50000</v>
      </c>
      <c r="F185" s="116">
        <v>0</v>
      </c>
      <c r="G185" s="116">
        <v>50000</v>
      </c>
      <c r="H185" s="115">
        <v>0</v>
      </c>
      <c r="I185" s="115"/>
      <c r="J185" s="117">
        <f t="shared" si="9"/>
        <v>1350000</v>
      </c>
    </row>
    <row r="186" spans="1:10" x14ac:dyDescent="0.25">
      <c r="A186" s="115">
        <v>39</v>
      </c>
      <c r="B186" s="115" t="s">
        <v>287</v>
      </c>
      <c r="C186" s="116">
        <f>120000-10000-10000</f>
        <v>100000</v>
      </c>
      <c r="D186" s="116">
        <v>0</v>
      </c>
      <c r="E186" s="116">
        <v>0</v>
      </c>
      <c r="F186" s="116"/>
      <c r="G186" s="116">
        <v>0</v>
      </c>
      <c r="H186" s="115">
        <v>0</v>
      </c>
      <c r="I186" s="115"/>
      <c r="J186" s="117">
        <f t="shared" si="9"/>
        <v>100000</v>
      </c>
    </row>
    <row r="187" spans="1:10" x14ac:dyDescent="0.25">
      <c r="A187" s="38">
        <v>40</v>
      </c>
      <c r="B187" s="1" t="s">
        <v>288</v>
      </c>
      <c r="C187" s="14">
        <v>428000</v>
      </c>
      <c r="D187" s="14">
        <v>26000</v>
      </c>
      <c r="E187" s="14">
        <v>24000</v>
      </c>
      <c r="F187" s="14">
        <v>15000</v>
      </c>
      <c r="G187" s="14">
        <v>0</v>
      </c>
      <c r="H187" s="1">
        <v>0</v>
      </c>
      <c r="I187" s="1"/>
      <c r="J187" s="70">
        <f t="shared" si="9"/>
        <v>493000</v>
      </c>
    </row>
    <row r="188" spans="1:10" x14ac:dyDescent="0.25">
      <c r="A188" s="38">
        <v>41</v>
      </c>
      <c r="B188" s="92" t="s">
        <v>289</v>
      </c>
      <c r="C188" s="93">
        <v>400000</v>
      </c>
      <c r="D188" s="93">
        <v>40000</v>
      </c>
      <c r="E188" s="93">
        <v>0</v>
      </c>
      <c r="F188" s="93">
        <v>0</v>
      </c>
      <c r="G188" s="93">
        <v>40000</v>
      </c>
      <c r="H188" s="1">
        <v>100000</v>
      </c>
      <c r="I188" s="1"/>
      <c r="J188" s="70">
        <f t="shared" si="9"/>
        <v>580000</v>
      </c>
    </row>
    <row r="189" spans="1:10" x14ac:dyDescent="0.25">
      <c r="A189" s="38">
        <v>42</v>
      </c>
      <c r="B189" s="1" t="s">
        <v>315</v>
      </c>
      <c r="C189" s="14">
        <v>2400000</v>
      </c>
      <c r="D189" s="1">
        <v>0</v>
      </c>
      <c r="E189" s="1">
        <v>0</v>
      </c>
      <c r="F189" s="1"/>
      <c r="G189" s="14">
        <v>0</v>
      </c>
      <c r="H189" s="1">
        <v>0</v>
      </c>
      <c r="I189" s="1"/>
      <c r="J189" s="70">
        <f t="shared" si="9"/>
        <v>2400000</v>
      </c>
    </row>
    <row r="190" spans="1:10" x14ac:dyDescent="0.25">
      <c r="A190" s="75">
        <v>43</v>
      </c>
      <c r="B190" s="1" t="s">
        <v>316</v>
      </c>
      <c r="C190" s="14">
        <v>2300000</v>
      </c>
      <c r="D190" s="1">
        <v>0</v>
      </c>
      <c r="E190" s="14">
        <v>300000</v>
      </c>
      <c r="F190" s="1"/>
      <c r="G190" s="14">
        <v>0</v>
      </c>
      <c r="H190" s="1">
        <v>0</v>
      </c>
      <c r="I190" s="1"/>
      <c r="J190" s="70">
        <f t="shared" si="9"/>
        <v>2600000</v>
      </c>
    </row>
    <row r="191" spans="1:10" x14ac:dyDescent="0.25">
      <c r="A191" s="90">
        <v>44</v>
      </c>
      <c r="B191" s="1" t="s">
        <v>338</v>
      </c>
      <c r="C191" s="14">
        <v>2300000</v>
      </c>
      <c r="D191" s="1">
        <v>0</v>
      </c>
      <c r="E191" s="1">
        <v>0</v>
      </c>
      <c r="F191" s="1"/>
      <c r="G191" s="14">
        <v>0</v>
      </c>
      <c r="H191" s="1">
        <v>0</v>
      </c>
      <c r="I191" s="1"/>
      <c r="J191" s="70">
        <f t="shared" si="9"/>
        <v>2300000</v>
      </c>
    </row>
    <row r="192" spans="1:10" x14ac:dyDescent="0.25">
      <c r="A192" s="38">
        <v>45</v>
      </c>
      <c r="B192" s="115" t="s">
        <v>383</v>
      </c>
      <c r="C192" s="1">
        <v>0</v>
      </c>
      <c r="D192" s="1">
        <v>0</v>
      </c>
      <c r="E192" s="14">
        <v>100000</v>
      </c>
      <c r="F192" s="1">
        <v>0</v>
      </c>
      <c r="G192" s="1">
        <v>100000</v>
      </c>
      <c r="H192" s="1">
        <v>0</v>
      </c>
      <c r="I192" s="1"/>
      <c r="J192" s="14">
        <f t="shared" si="9"/>
        <v>200000</v>
      </c>
    </row>
    <row r="193" spans="1:10" x14ac:dyDescent="0.25">
      <c r="A193" s="38">
        <v>46</v>
      </c>
      <c r="B193" s="1" t="s">
        <v>384</v>
      </c>
      <c r="C193" s="1">
        <v>0</v>
      </c>
      <c r="D193" s="1">
        <v>0</v>
      </c>
      <c r="E193" s="1">
        <v>0</v>
      </c>
      <c r="F193" s="1">
        <v>0</v>
      </c>
      <c r="G193" s="1">
        <v>510000</v>
      </c>
      <c r="H193" s="1">
        <v>0</v>
      </c>
      <c r="I193" s="1"/>
      <c r="J193" s="1">
        <f t="shared" si="9"/>
        <v>510000</v>
      </c>
    </row>
    <row r="194" spans="1:10" x14ac:dyDescent="0.25">
      <c r="A194" s="38"/>
      <c r="B194" s="1"/>
      <c r="C194" s="14"/>
      <c r="D194" s="1"/>
      <c r="E194" s="1"/>
      <c r="F194" s="1"/>
      <c r="G194" s="14"/>
      <c r="H194" s="1"/>
      <c r="I194" s="1"/>
      <c r="J194" s="70"/>
    </row>
    <row r="195" spans="1:10" x14ac:dyDescent="0.25">
      <c r="A195" s="38"/>
      <c r="B195" s="1"/>
      <c r="C195" s="14"/>
      <c r="D195" s="1"/>
      <c r="E195" s="1"/>
      <c r="F195" s="1"/>
      <c r="G195" s="14"/>
      <c r="H195" s="1"/>
      <c r="I195" s="1"/>
      <c r="J195" s="70"/>
    </row>
    <row r="196" spans="1:10" x14ac:dyDescent="0.25">
      <c r="A196" s="38"/>
      <c r="B196" s="1"/>
      <c r="C196" s="1"/>
      <c r="D196" s="1"/>
      <c r="E196" s="1"/>
      <c r="F196" s="1"/>
      <c r="G196" s="1"/>
      <c r="H196" s="1"/>
      <c r="I196" s="1"/>
      <c r="J196" s="1"/>
    </row>
    <row r="197" spans="1:10" x14ac:dyDescent="0.25">
      <c r="A197" s="38"/>
      <c r="B197" s="1"/>
      <c r="C197" s="1"/>
      <c r="D197" s="1"/>
      <c r="E197" s="1"/>
      <c r="F197" s="1"/>
      <c r="G197" s="1"/>
      <c r="H197" s="1"/>
      <c r="I197" s="1"/>
      <c r="J197" s="1"/>
    </row>
    <row r="198" spans="1:10" x14ac:dyDescent="0.25">
      <c r="A198" s="1"/>
      <c r="B198" s="58" t="s">
        <v>138</v>
      </c>
      <c r="C198" s="15">
        <f>SUM(C148:C195)</f>
        <v>43300958</v>
      </c>
      <c r="D198" s="15">
        <f>SUM(D148:D195)</f>
        <v>561000</v>
      </c>
      <c r="E198" s="15">
        <f>SUM(E148:E195)</f>
        <v>1100000</v>
      </c>
      <c r="F198" s="15">
        <f>SUM(F148:F195)</f>
        <v>355000</v>
      </c>
      <c r="G198" s="15">
        <f>SUM(G148:G195)</f>
        <v>977000</v>
      </c>
      <c r="H198" s="15">
        <f>SUM(H149:H195)</f>
        <v>530000</v>
      </c>
      <c r="I198" s="15">
        <f>SUM(I148:I195)</f>
        <v>544000</v>
      </c>
      <c r="J198" s="15">
        <f>SUM(C198:I198)</f>
        <v>47367958</v>
      </c>
    </row>
    <row r="206" spans="1:10" x14ac:dyDescent="0.25">
      <c r="E206" s="26"/>
    </row>
    <row r="208" spans="1:10" x14ac:dyDescent="0.25">
      <c r="J208" s="26"/>
    </row>
    <row r="216" spans="1:3" ht="18.75" x14ac:dyDescent="0.3">
      <c r="B216" s="5" t="s">
        <v>80</v>
      </c>
    </row>
    <row r="217" spans="1:3" ht="18.75" x14ac:dyDescent="0.3">
      <c r="B217" s="5" t="s">
        <v>64</v>
      </c>
    </row>
    <row r="218" spans="1:3" ht="18.75" x14ac:dyDescent="0.3">
      <c r="B218" s="5" t="s">
        <v>243</v>
      </c>
    </row>
    <row r="219" spans="1:3" ht="18.75" x14ac:dyDescent="0.3">
      <c r="B219" s="5" t="s">
        <v>388</v>
      </c>
    </row>
    <row r="221" spans="1:3" x14ac:dyDescent="0.25">
      <c r="A221" s="3" t="s">
        <v>244</v>
      </c>
      <c r="B221" s="3" t="s">
        <v>245</v>
      </c>
      <c r="C221" s="113" t="s">
        <v>249</v>
      </c>
    </row>
    <row r="222" spans="1:3" x14ac:dyDescent="0.25">
      <c r="A222" s="1">
        <v>1</v>
      </c>
      <c r="B222" s="66" t="s">
        <v>22</v>
      </c>
      <c r="C222" s="97">
        <v>19400000</v>
      </c>
    </row>
    <row r="223" spans="1:3" x14ac:dyDescent="0.25">
      <c r="A223" s="1"/>
      <c r="B223" s="66" t="s">
        <v>246</v>
      </c>
      <c r="C223" s="97">
        <v>47367958</v>
      </c>
    </row>
    <row r="224" spans="1:3" x14ac:dyDescent="0.25">
      <c r="A224" s="1"/>
      <c r="B224" s="66" t="s">
        <v>247</v>
      </c>
      <c r="C224" s="98">
        <v>0</v>
      </c>
    </row>
    <row r="225" spans="1:5" x14ac:dyDescent="0.25">
      <c r="A225" s="1"/>
      <c r="B225" s="66" t="s">
        <v>379</v>
      </c>
      <c r="C225" s="98">
        <v>30000</v>
      </c>
    </row>
    <row r="226" spans="1:5" x14ac:dyDescent="0.25">
      <c r="A226" s="1"/>
      <c r="B226" s="66" t="s">
        <v>380</v>
      </c>
      <c r="C226" s="98">
        <v>596500</v>
      </c>
    </row>
    <row r="227" spans="1:5" x14ac:dyDescent="0.25">
      <c r="A227" s="1"/>
      <c r="B227" s="1" t="s">
        <v>255</v>
      </c>
      <c r="C227" s="88">
        <v>607210</v>
      </c>
    </row>
    <row r="228" spans="1:5" x14ac:dyDescent="0.25">
      <c r="A228" s="1"/>
      <c r="B228" s="1" t="s">
        <v>387</v>
      </c>
      <c r="C228" s="88">
        <v>4550</v>
      </c>
    </row>
    <row r="229" spans="1:5" ht="18.75" x14ac:dyDescent="0.3">
      <c r="A229" s="1"/>
      <c r="B229" s="73" t="s">
        <v>248</v>
      </c>
      <c r="C229" s="89">
        <f>SUM(C222:C228)</f>
        <v>68006218</v>
      </c>
      <c r="D229" s="12"/>
      <c r="E229" s="118"/>
    </row>
    <row r="230" spans="1:5" ht="18.75" x14ac:dyDescent="0.3">
      <c r="B230" s="5"/>
      <c r="C230" s="26"/>
    </row>
    <row r="231" spans="1:5" ht="18.75" x14ac:dyDescent="0.3">
      <c r="A231" s="3" t="s">
        <v>250</v>
      </c>
      <c r="B231" s="73" t="s">
        <v>251</v>
      </c>
      <c r="C231" s="113" t="s">
        <v>249</v>
      </c>
    </row>
    <row r="232" spans="1:5" x14ac:dyDescent="0.25">
      <c r="A232" s="1"/>
      <c r="B232" s="66" t="s">
        <v>252</v>
      </c>
      <c r="C232" s="87">
        <v>20000000</v>
      </c>
    </row>
    <row r="233" spans="1:5" x14ac:dyDescent="0.25">
      <c r="A233" s="1"/>
      <c r="B233" s="66" t="s">
        <v>253</v>
      </c>
      <c r="C233" s="88">
        <v>45815682</v>
      </c>
    </row>
    <row r="234" spans="1:5" x14ac:dyDescent="0.25">
      <c r="A234" s="1"/>
      <c r="B234" s="66" t="s">
        <v>254</v>
      </c>
      <c r="C234" s="88">
        <v>471189</v>
      </c>
    </row>
    <row r="235" spans="1:5" x14ac:dyDescent="0.25">
      <c r="A235" s="1"/>
      <c r="B235" s="1" t="s">
        <v>296</v>
      </c>
      <c r="C235" s="88">
        <v>1350000</v>
      </c>
    </row>
    <row r="236" spans="1:5" x14ac:dyDescent="0.25">
      <c r="A236" s="1"/>
      <c r="B236" s="1" t="s">
        <v>290</v>
      </c>
      <c r="C236" s="88">
        <v>8819</v>
      </c>
    </row>
    <row r="237" spans="1:5" x14ac:dyDescent="0.25">
      <c r="A237" s="1"/>
      <c r="B237" s="1" t="s">
        <v>310</v>
      </c>
      <c r="C237" s="88">
        <v>0</v>
      </c>
    </row>
    <row r="238" spans="1:5" x14ac:dyDescent="0.25">
      <c r="A238" s="1"/>
      <c r="B238" s="1" t="s">
        <v>297</v>
      </c>
      <c r="C238" s="88">
        <v>360528</v>
      </c>
    </row>
    <row r="239" spans="1:5" ht="18.75" x14ac:dyDescent="0.3">
      <c r="A239" s="1"/>
      <c r="B239" s="73" t="s">
        <v>248</v>
      </c>
      <c r="C239" s="89">
        <f>SUM(C232:C238)</f>
        <v>68006218</v>
      </c>
    </row>
    <row r="241" spans="1:9" ht="15.75" thickBot="1" x14ac:dyDescent="0.3"/>
    <row r="242" spans="1:9" x14ac:dyDescent="0.25">
      <c r="B242" s="31" t="s">
        <v>343</v>
      </c>
      <c r="C242" s="102"/>
      <c r="D242" s="102"/>
      <c r="E242" s="108">
        <v>20000000</v>
      </c>
    </row>
    <row r="243" spans="1:9" x14ac:dyDescent="0.25">
      <c r="B243" s="103" t="s">
        <v>341</v>
      </c>
      <c r="C243" s="22"/>
      <c r="D243" s="22"/>
      <c r="E243" s="109">
        <v>500000</v>
      </c>
    </row>
    <row r="244" spans="1:9" ht="15.75" thickBot="1" x14ac:dyDescent="0.3">
      <c r="B244" s="106" t="s">
        <v>342</v>
      </c>
      <c r="C244" s="107"/>
      <c r="D244" s="107"/>
      <c r="E244" s="110">
        <v>100000</v>
      </c>
      <c r="I244" s="101"/>
    </row>
    <row r="245" spans="1:9" ht="15.75" thickBot="1" x14ac:dyDescent="0.3">
      <c r="A245" s="22"/>
      <c r="B245" s="104" t="s">
        <v>344</v>
      </c>
      <c r="C245" s="105"/>
      <c r="D245" s="105"/>
      <c r="E245" s="111">
        <v>19400000</v>
      </c>
    </row>
    <row r="253" spans="1:9" ht="18.75" x14ac:dyDescent="0.3">
      <c r="B253" s="5" t="s">
        <v>80</v>
      </c>
    </row>
    <row r="254" spans="1:9" ht="18.75" x14ac:dyDescent="0.3">
      <c r="B254" s="5" t="s">
        <v>64</v>
      </c>
    </row>
    <row r="255" spans="1:9" x14ac:dyDescent="0.25">
      <c r="B255" t="s">
        <v>388</v>
      </c>
    </row>
    <row r="256" spans="1:9" ht="15.75" x14ac:dyDescent="0.25">
      <c r="A256" s="9" t="s">
        <v>156</v>
      </c>
      <c r="B256" s="8" t="s">
        <v>139</v>
      </c>
      <c r="C256" s="9" t="s">
        <v>140</v>
      </c>
      <c r="D256" s="9" t="s">
        <v>152</v>
      </c>
      <c r="E256" s="9" t="s">
        <v>141</v>
      </c>
      <c r="F256" s="66" t="s">
        <v>142</v>
      </c>
      <c r="G256" s="119"/>
    </row>
    <row r="257" spans="1:6" ht="15.75" x14ac:dyDescent="0.25">
      <c r="A257" s="9"/>
      <c r="B257" s="8" t="s">
        <v>363</v>
      </c>
      <c r="C257" s="56">
        <v>117038</v>
      </c>
      <c r="D257" s="56">
        <v>291403</v>
      </c>
      <c r="E257" s="56">
        <v>13460</v>
      </c>
      <c r="F257" s="56">
        <v>58026</v>
      </c>
    </row>
    <row r="258" spans="1:6" ht="15.75" x14ac:dyDescent="0.25">
      <c r="A258" s="9">
        <v>1</v>
      </c>
      <c r="B258" s="9" t="s">
        <v>364</v>
      </c>
      <c r="C258" s="56">
        <v>0</v>
      </c>
      <c r="D258" s="56">
        <v>0</v>
      </c>
      <c r="E258" s="56">
        <v>0</v>
      </c>
      <c r="F258" s="56">
        <v>10</v>
      </c>
    </row>
    <row r="259" spans="1:6" ht="15.75" x14ac:dyDescent="0.25">
      <c r="A259" s="9">
        <v>2</v>
      </c>
      <c r="B259" s="9" t="s">
        <v>365</v>
      </c>
      <c r="C259" s="56">
        <v>0</v>
      </c>
      <c r="D259" s="56">
        <v>0</v>
      </c>
      <c r="E259" s="56">
        <v>0</v>
      </c>
      <c r="F259" s="56">
        <v>10</v>
      </c>
    </row>
    <row r="260" spans="1:6" ht="15.75" x14ac:dyDescent="0.25">
      <c r="A260" s="9">
        <v>3</v>
      </c>
      <c r="B260" s="9" t="s">
        <v>366</v>
      </c>
      <c r="C260" s="56">
        <v>0</v>
      </c>
      <c r="D260" s="56">
        <v>64721</v>
      </c>
      <c r="E260" s="56">
        <v>6500</v>
      </c>
      <c r="F260" s="56">
        <v>173</v>
      </c>
    </row>
    <row r="261" spans="1:6" ht="15.75" x14ac:dyDescent="0.25">
      <c r="A261" s="9">
        <v>4</v>
      </c>
      <c r="B261" s="9" t="s">
        <v>367</v>
      </c>
      <c r="C261" s="56">
        <v>0</v>
      </c>
      <c r="D261" s="56">
        <v>145043</v>
      </c>
      <c r="E261" s="56">
        <v>0</v>
      </c>
      <c r="F261" s="56">
        <v>18761</v>
      </c>
    </row>
    <row r="262" spans="1:6" ht="15.75" x14ac:dyDescent="0.25">
      <c r="A262" s="9">
        <v>5</v>
      </c>
      <c r="B262" s="9" t="s">
        <v>368</v>
      </c>
      <c r="C262" s="56">
        <v>0</v>
      </c>
      <c r="D262" s="56">
        <v>0</v>
      </c>
      <c r="E262" s="56">
        <v>0</v>
      </c>
      <c r="F262" s="56">
        <v>10</v>
      </c>
    </row>
    <row r="263" spans="1:6" ht="15.75" x14ac:dyDescent="0.25">
      <c r="A263" s="8">
        <v>6</v>
      </c>
      <c r="B263" s="8" t="s">
        <v>369</v>
      </c>
      <c r="C263" s="57">
        <v>9341</v>
      </c>
      <c r="D263" s="1">
        <v>38203.21</v>
      </c>
      <c r="E263" s="1">
        <v>0</v>
      </c>
      <c r="F263" s="1">
        <v>1509.1</v>
      </c>
    </row>
    <row r="264" spans="1:6" ht="15.75" x14ac:dyDescent="0.25">
      <c r="A264" s="9">
        <v>7</v>
      </c>
      <c r="B264" s="9" t="s">
        <v>370</v>
      </c>
      <c r="C264" s="56"/>
      <c r="D264" s="56"/>
      <c r="E264" s="56"/>
      <c r="F264" s="56"/>
    </row>
    <row r="265" spans="1:6" ht="15.75" x14ac:dyDescent="0.25">
      <c r="A265" s="9">
        <v>8</v>
      </c>
      <c r="B265" s="9" t="s">
        <v>371</v>
      </c>
      <c r="C265" s="56"/>
      <c r="D265" s="56"/>
      <c r="E265" s="56"/>
      <c r="F265" s="56"/>
    </row>
    <row r="266" spans="1:6" ht="15.75" x14ac:dyDescent="0.25">
      <c r="A266" s="9">
        <v>9</v>
      </c>
      <c r="B266" s="9" t="s">
        <v>372</v>
      </c>
      <c r="C266" s="56"/>
      <c r="D266" s="56"/>
      <c r="E266" s="56"/>
      <c r="F266" s="56"/>
    </row>
    <row r="267" spans="1:6" ht="15.75" x14ac:dyDescent="0.25">
      <c r="A267" s="9">
        <v>10</v>
      </c>
      <c r="B267" s="9" t="s">
        <v>373</v>
      </c>
      <c r="C267" s="56"/>
      <c r="D267" s="56"/>
      <c r="E267" s="56"/>
      <c r="F267" s="56"/>
    </row>
    <row r="268" spans="1:6" ht="15.75" x14ac:dyDescent="0.25">
      <c r="A268" s="9">
        <v>11</v>
      </c>
      <c r="B268" s="9" t="s">
        <v>374</v>
      </c>
      <c r="C268" s="56"/>
      <c r="D268" s="56"/>
      <c r="E268" s="56"/>
      <c r="F268" s="56"/>
    </row>
    <row r="269" spans="1:6" ht="15.75" x14ac:dyDescent="0.25">
      <c r="A269" s="9">
        <v>12</v>
      </c>
      <c r="B269" s="66" t="s">
        <v>375</v>
      </c>
      <c r="C269" s="56"/>
      <c r="D269" s="56"/>
      <c r="E269" s="56"/>
      <c r="F269" s="56"/>
    </row>
    <row r="270" spans="1:6" ht="15.75" x14ac:dyDescent="0.25">
      <c r="A270" s="9"/>
      <c r="B270" s="55" t="s">
        <v>138</v>
      </c>
      <c r="C270" s="57">
        <f>SUM(C257:C269)</f>
        <v>126379</v>
      </c>
      <c r="D270" s="57">
        <f>SUM(D257:D269)</f>
        <v>539370.21</v>
      </c>
      <c r="E270" s="57">
        <f>SUM(E257:E269)</f>
        <v>19960</v>
      </c>
      <c r="F270" s="57">
        <f>SUM(F257:F269)</f>
        <v>78499.100000000006</v>
      </c>
    </row>
    <row r="271" spans="1:6" ht="15.75" thickBot="1" x14ac:dyDescent="0.3"/>
    <row r="272" spans="1:6" ht="16.5" thickBot="1" x14ac:dyDescent="0.3">
      <c r="D272" s="12" t="s">
        <v>203</v>
      </c>
      <c r="E272" s="12"/>
      <c r="F272" s="65">
        <f>SUM(C270+D270+E270)-(F270)</f>
        <v>607210.11</v>
      </c>
    </row>
    <row r="284" spans="1:10" ht="18.75" x14ac:dyDescent="0.3">
      <c r="B284" s="5" t="s">
        <v>80</v>
      </c>
    </row>
    <row r="285" spans="1:10" ht="18.75" x14ac:dyDescent="0.3">
      <c r="B285" s="5" t="s">
        <v>64</v>
      </c>
    </row>
    <row r="286" spans="1:10" x14ac:dyDescent="0.25">
      <c r="B286" t="s">
        <v>385</v>
      </c>
    </row>
    <row r="287" spans="1:10" x14ac:dyDescent="0.25">
      <c r="A287" s="3" t="s">
        <v>163</v>
      </c>
      <c r="B287" s="3" t="s">
        <v>164</v>
      </c>
      <c r="C287" s="59" t="s">
        <v>362</v>
      </c>
      <c r="D287" s="13">
        <v>43466</v>
      </c>
      <c r="E287" s="13">
        <v>43497</v>
      </c>
      <c r="F287" s="13">
        <v>43525</v>
      </c>
      <c r="G287" s="13">
        <v>43556</v>
      </c>
      <c r="H287" s="13">
        <v>43586</v>
      </c>
      <c r="I287" s="13">
        <v>43617</v>
      </c>
      <c r="J287" s="3" t="s">
        <v>313</v>
      </c>
    </row>
    <row r="288" spans="1:10" x14ac:dyDescent="0.25">
      <c r="A288" s="1">
        <v>1</v>
      </c>
      <c r="B288" s="1" t="s">
        <v>386</v>
      </c>
      <c r="C288" s="27">
        <v>0</v>
      </c>
      <c r="D288" s="27">
        <v>0</v>
      </c>
      <c r="E288" s="27">
        <v>0</v>
      </c>
      <c r="F288" s="27">
        <v>2080</v>
      </c>
      <c r="G288" s="27">
        <v>2470</v>
      </c>
      <c r="H288" s="38"/>
      <c r="I288" s="38"/>
      <c r="J288" s="72">
        <f>SUM(C288:I288)</f>
        <v>4550</v>
      </c>
    </row>
    <row r="289" spans="1:10" x14ac:dyDescent="0.25">
      <c r="A289" s="1">
        <v>2</v>
      </c>
      <c r="B289" s="1"/>
      <c r="C289" s="27">
        <v>0</v>
      </c>
      <c r="D289" s="27">
        <v>0</v>
      </c>
      <c r="E289" s="27">
        <v>0</v>
      </c>
      <c r="F289" s="27"/>
      <c r="G289" s="27"/>
      <c r="H289" s="38"/>
      <c r="I289" s="38"/>
      <c r="J289" s="72">
        <f t="shared" ref="J289:J290" si="10">SUM(C289:I289)</f>
        <v>0</v>
      </c>
    </row>
    <row r="290" spans="1:10" x14ac:dyDescent="0.25">
      <c r="A290" s="1">
        <v>3</v>
      </c>
      <c r="B290" s="1"/>
      <c r="C290" s="27">
        <v>0</v>
      </c>
      <c r="D290" s="27">
        <v>0</v>
      </c>
      <c r="E290" s="27">
        <v>0</v>
      </c>
      <c r="F290" s="27">
        <v>0</v>
      </c>
      <c r="G290" s="27"/>
      <c r="H290" s="38"/>
      <c r="I290" s="38"/>
      <c r="J290" s="72">
        <f t="shared" si="10"/>
        <v>0</v>
      </c>
    </row>
  </sheetData>
  <pageMargins left="0.7" right="0.7" top="0.75" bottom="0.75" header="0.3" footer="0.3"/>
  <pageSetup scale="9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8"/>
  <sheetViews>
    <sheetView topLeftCell="A196" workbookViewId="0">
      <selection activeCell="C179" sqref="C179"/>
    </sheetView>
  </sheetViews>
  <sheetFormatPr defaultRowHeight="15" x14ac:dyDescent="0.25"/>
  <cols>
    <col min="1" max="1" width="4.5703125" customWidth="1"/>
    <col min="2" max="2" width="32.140625" customWidth="1"/>
    <col min="3" max="3" width="13.85546875" customWidth="1"/>
    <col min="4" max="4" width="11.42578125" customWidth="1"/>
    <col min="5" max="5" width="11.5703125" customWidth="1"/>
    <col min="6" max="6" width="10.85546875" customWidth="1"/>
    <col min="7" max="7" width="11.28515625" customWidth="1"/>
    <col min="8" max="8" width="9.85546875" customWidth="1"/>
    <col min="9" max="9" width="10.28515625" customWidth="1"/>
    <col min="10" max="10" width="12.7109375" customWidth="1"/>
  </cols>
  <sheetData>
    <row r="1" spans="1:10" ht="13.5" customHeight="1" x14ac:dyDescent="0.25">
      <c r="A1" s="94"/>
      <c r="B1" s="54" t="s">
        <v>80</v>
      </c>
      <c r="C1" s="54"/>
      <c r="D1" s="54"/>
      <c r="E1" s="94"/>
      <c r="F1" s="94"/>
      <c r="G1" s="94"/>
      <c r="H1" s="94"/>
      <c r="I1" s="94"/>
      <c r="J1" s="94"/>
    </row>
    <row r="2" spans="1:10" ht="12.75" customHeight="1" x14ac:dyDescent="0.25">
      <c r="A2" s="94"/>
      <c r="B2" s="54" t="s">
        <v>64</v>
      </c>
      <c r="C2" s="54"/>
      <c r="D2" s="54"/>
      <c r="E2" s="94"/>
      <c r="F2" s="94"/>
      <c r="G2" s="94"/>
      <c r="H2" s="94"/>
      <c r="I2" s="94"/>
      <c r="J2" s="94"/>
    </row>
    <row r="3" spans="1:10" ht="12" customHeight="1" x14ac:dyDescent="0.25">
      <c r="A3" s="94"/>
      <c r="B3" s="54" t="s">
        <v>393</v>
      </c>
      <c r="C3" s="54"/>
      <c r="D3" s="54"/>
      <c r="E3" s="94"/>
      <c r="F3" s="94"/>
      <c r="G3" s="94"/>
      <c r="H3" s="94"/>
      <c r="I3" s="94"/>
      <c r="J3" s="94"/>
    </row>
    <row r="4" spans="1:10" ht="12" customHeight="1" x14ac:dyDescent="0.25">
      <c r="A4" s="94"/>
      <c r="B4" s="54"/>
      <c r="C4" s="54"/>
      <c r="D4" s="54"/>
      <c r="E4" s="94"/>
      <c r="F4" s="94"/>
      <c r="G4" s="94"/>
      <c r="H4" s="94"/>
      <c r="I4" s="94"/>
      <c r="J4" s="94"/>
    </row>
    <row r="5" spans="1:10" ht="15.75" x14ac:dyDescent="0.25">
      <c r="A5" s="1" t="s">
        <v>21</v>
      </c>
      <c r="B5" s="8" t="s">
        <v>6</v>
      </c>
      <c r="C5" s="59" t="s">
        <v>395</v>
      </c>
      <c r="D5" s="13">
        <v>43647</v>
      </c>
      <c r="E5" s="13">
        <v>43678</v>
      </c>
      <c r="F5" s="13">
        <v>43709</v>
      </c>
      <c r="G5" s="13">
        <v>43739</v>
      </c>
      <c r="H5" s="13">
        <v>43770</v>
      </c>
      <c r="I5" s="13">
        <v>43800</v>
      </c>
      <c r="J5" s="1" t="s">
        <v>81</v>
      </c>
    </row>
    <row r="6" spans="1:10" x14ac:dyDescent="0.25">
      <c r="A6" s="1">
        <v>1</v>
      </c>
      <c r="B6" s="1" t="s">
        <v>83</v>
      </c>
      <c r="C6" s="27">
        <v>16100</v>
      </c>
      <c r="D6" s="27">
        <v>0</v>
      </c>
      <c r="E6" s="27">
        <v>0</v>
      </c>
      <c r="F6" s="38">
        <v>0</v>
      </c>
      <c r="G6" s="38">
        <v>0</v>
      </c>
      <c r="H6" s="38">
        <v>0</v>
      </c>
      <c r="I6" s="38">
        <v>0</v>
      </c>
      <c r="J6" s="27">
        <f t="shared" ref="J6:J36" si="0">SUM(C6:I6)</f>
        <v>16100</v>
      </c>
    </row>
    <row r="7" spans="1:10" ht="15.75" x14ac:dyDescent="0.25">
      <c r="A7" s="1">
        <v>2</v>
      </c>
      <c r="B7" s="17" t="s">
        <v>95</v>
      </c>
      <c r="C7" s="68">
        <v>852900</v>
      </c>
      <c r="D7" s="27">
        <v>0</v>
      </c>
      <c r="E7" s="27">
        <v>0</v>
      </c>
      <c r="F7" s="38">
        <v>0</v>
      </c>
      <c r="G7" s="38">
        <v>0</v>
      </c>
      <c r="H7" s="38">
        <v>0</v>
      </c>
      <c r="I7" s="38">
        <v>0</v>
      </c>
      <c r="J7" s="27">
        <f t="shared" si="0"/>
        <v>852900</v>
      </c>
    </row>
    <row r="8" spans="1:10" x14ac:dyDescent="0.25">
      <c r="A8" s="1">
        <v>3</v>
      </c>
      <c r="B8" s="1" t="s">
        <v>82</v>
      </c>
      <c r="C8" s="27">
        <v>115500</v>
      </c>
      <c r="D8" s="27">
        <v>0</v>
      </c>
      <c r="E8" s="27">
        <v>0</v>
      </c>
      <c r="F8" s="38">
        <v>0</v>
      </c>
      <c r="G8" s="38">
        <v>0</v>
      </c>
      <c r="H8" s="38">
        <v>0</v>
      </c>
      <c r="I8" s="38">
        <v>0</v>
      </c>
      <c r="J8" s="27">
        <f t="shared" si="0"/>
        <v>115500</v>
      </c>
    </row>
    <row r="9" spans="1:10" x14ac:dyDescent="0.25">
      <c r="A9" s="1">
        <v>4</v>
      </c>
      <c r="B9" s="1" t="s">
        <v>107</v>
      </c>
      <c r="C9" s="27">
        <v>320120</v>
      </c>
      <c r="D9" s="27">
        <v>0</v>
      </c>
      <c r="E9" s="27">
        <v>0</v>
      </c>
      <c r="F9" s="38">
        <v>0</v>
      </c>
      <c r="G9" s="38">
        <v>0</v>
      </c>
      <c r="H9" s="38">
        <v>0</v>
      </c>
      <c r="I9" s="38">
        <v>0</v>
      </c>
      <c r="J9" s="27">
        <f t="shared" si="0"/>
        <v>320120</v>
      </c>
    </row>
    <row r="10" spans="1:10" x14ac:dyDescent="0.25">
      <c r="A10" s="1"/>
      <c r="B10" s="1" t="s">
        <v>123</v>
      </c>
      <c r="C10" s="27">
        <v>571500</v>
      </c>
      <c r="D10" s="27">
        <v>0</v>
      </c>
      <c r="E10" s="27">
        <v>0</v>
      </c>
      <c r="F10" s="38">
        <v>0</v>
      </c>
      <c r="G10" s="38">
        <v>0</v>
      </c>
      <c r="H10" s="38">
        <v>0</v>
      </c>
      <c r="I10" s="38">
        <v>0</v>
      </c>
      <c r="J10" s="27">
        <f t="shared" si="0"/>
        <v>571500</v>
      </c>
    </row>
    <row r="11" spans="1:10" x14ac:dyDescent="0.25">
      <c r="A11" s="1"/>
      <c r="B11" s="1" t="s">
        <v>381</v>
      </c>
      <c r="C11" s="27">
        <v>266500</v>
      </c>
      <c r="D11" s="27">
        <v>0</v>
      </c>
      <c r="E11" s="27">
        <v>0</v>
      </c>
      <c r="F11" s="38">
        <v>0</v>
      </c>
      <c r="G11" s="38">
        <v>0</v>
      </c>
      <c r="H11" s="38">
        <v>0</v>
      </c>
      <c r="I11" s="38">
        <v>0</v>
      </c>
      <c r="J11" s="27">
        <f t="shared" si="0"/>
        <v>266500</v>
      </c>
    </row>
    <row r="12" spans="1:10" x14ac:dyDescent="0.25">
      <c r="A12" s="1">
        <v>5</v>
      </c>
      <c r="B12" s="1" t="s">
        <v>84</v>
      </c>
      <c r="C12" s="27">
        <v>154708</v>
      </c>
      <c r="D12" s="27">
        <v>0</v>
      </c>
      <c r="E12" s="27">
        <v>0</v>
      </c>
      <c r="F12" s="38">
        <v>0</v>
      </c>
      <c r="G12" s="38">
        <v>0</v>
      </c>
      <c r="H12" s="38">
        <v>0</v>
      </c>
      <c r="I12" s="38">
        <v>0</v>
      </c>
      <c r="J12" s="27">
        <f t="shared" si="0"/>
        <v>154708</v>
      </c>
    </row>
    <row r="13" spans="1:10" x14ac:dyDescent="0.25">
      <c r="A13" s="1">
        <v>6</v>
      </c>
      <c r="B13" s="1" t="s">
        <v>109</v>
      </c>
      <c r="C13" s="27">
        <v>13039300</v>
      </c>
      <c r="D13" s="27">
        <v>504000</v>
      </c>
      <c r="E13" s="27">
        <v>0</v>
      </c>
      <c r="F13" s="27">
        <v>51495</v>
      </c>
      <c r="G13" s="27">
        <v>43015</v>
      </c>
      <c r="H13" s="27">
        <v>28990</v>
      </c>
      <c r="I13" s="27">
        <v>27920</v>
      </c>
      <c r="J13" s="27">
        <f t="shared" si="0"/>
        <v>13694720</v>
      </c>
    </row>
    <row r="14" spans="1:10" x14ac:dyDescent="0.25">
      <c r="A14" s="1">
        <v>7</v>
      </c>
      <c r="B14" s="1" t="s">
        <v>37</v>
      </c>
      <c r="C14" s="27">
        <v>4934575</v>
      </c>
      <c r="D14" s="27">
        <v>83000</v>
      </c>
      <c r="E14" s="27">
        <v>62250</v>
      </c>
      <c r="F14" s="27">
        <v>172000</v>
      </c>
      <c r="G14" s="27">
        <v>42000</v>
      </c>
      <c r="H14" s="27">
        <v>50400</v>
      </c>
      <c r="I14" s="27"/>
      <c r="J14" s="27">
        <f t="shared" si="0"/>
        <v>5344225</v>
      </c>
    </row>
    <row r="15" spans="1:10" x14ac:dyDescent="0.25">
      <c r="A15" s="1">
        <v>8</v>
      </c>
      <c r="B15" s="1" t="s">
        <v>111</v>
      </c>
      <c r="C15" s="27">
        <v>4779491</v>
      </c>
      <c r="D15" s="27">
        <v>91292</v>
      </c>
      <c r="E15" s="27">
        <v>81900</v>
      </c>
      <c r="F15" s="27">
        <v>0</v>
      </c>
      <c r="G15" s="27"/>
      <c r="H15" s="27"/>
      <c r="I15" s="27"/>
      <c r="J15" s="27">
        <f t="shared" si="0"/>
        <v>4952683</v>
      </c>
    </row>
    <row r="16" spans="1:10" x14ac:dyDescent="0.25">
      <c r="A16" s="1">
        <v>9</v>
      </c>
      <c r="B16" s="1" t="s">
        <v>96</v>
      </c>
      <c r="C16" s="27">
        <v>1307150</v>
      </c>
      <c r="D16" s="27">
        <v>55600</v>
      </c>
      <c r="E16" s="27">
        <v>84000</v>
      </c>
      <c r="F16" s="27">
        <v>0</v>
      </c>
      <c r="G16" s="27">
        <v>54800</v>
      </c>
      <c r="H16" s="27">
        <v>41700</v>
      </c>
      <c r="I16" s="27"/>
      <c r="J16" s="27">
        <f t="shared" si="0"/>
        <v>1543250</v>
      </c>
    </row>
    <row r="17" spans="1:10" x14ac:dyDescent="0.25">
      <c r="A17" s="1">
        <v>10</v>
      </c>
      <c r="B17" s="1" t="s">
        <v>217</v>
      </c>
      <c r="C17" s="27">
        <v>698113</v>
      </c>
      <c r="D17" s="27">
        <v>6200</v>
      </c>
      <c r="E17" s="27">
        <v>11500</v>
      </c>
      <c r="F17" s="27">
        <v>8700</v>
      </c>
      <c r="G17" s="27">
        <v>13702</v>
      </c>
      <c r="H17" s="27">
        <v>7000</v>
      </c>
      <c r="I17" s="27">
        <v>11100</v>
      </c>
      <c r="J17" s="27">
        <f t="shared" si="0"/>
        <v>756315</v>
      </c>
    </row>
    <row r="18" spans="1:10" x14ac:dyDescent="0.25">
      <c r="A18" s="1">
        <v>11</v>
      </c>
      <c r="B18" s="1" t="s">
        <v>336</v>
      </c>
      <c r="C18" s="27">
        <v>192980</v>
      </c>
      <c r="D18" s="27">
        <v>0</v>
      </c>
      <c r="E18" s="27">
        <v>0</v>
      </c>
      <c r="F18" s="27">
        <v>0</v>
      </c>
      <c r="G18" s="27"/>
      <c r="H18" s="27">
        <v>0</v>
      </c>
      <c r="I18" s="27"/>
      <c r="J18" s="27">
        <f t="shared" si="0"/>
        <v>192980</v>
      </c>
    </row>
    <row r="19" spans="1:10" x14ac:dyDescent="0.25">
      <c r="A19" s="1"/>
      <c r="B19" s="1" t="s">
        <v>108</v>
      </c>
      <c r="C19" s="27">
        <v>187594</v>
      </c>
      <c r="D19" s="27">
        <v>3200</v>
      </c>
      <c r="E19" s="27">
        <v>3900</v>
      </c>
      <c r="F19" s="27">
        <v>3900</v>
      </c>
      <c r="G19" s="27">
        <v>3900</v>
      </c>
      <c r="H19" s="27">
        <v>3900</v>
      </c>
      <c r="I19" s="27">
        <v>3900</v>
      </c>
      <c r="J19" s="27">
        <f t="shared" si="0"/>
        <v>210294</v>
      </c>
    </row>
    <row r="20" spans="1:10" x14ac:dyDescent="0.25">
      <c r="A20" s="1"/>
      <c r="B20" s="1" t="s">
        <v>119</v>
      </c>
      <c r="C20" s="27">
        <v>273725</v>
      </c>
      <c r="D20" s="27">
        <v>90411</v>
      </c>
      <c r="E20" s="27">
        <v>19332</v>
      </c>
      <c r="F20" s="27">
        <v>18856</v>
      </c>
      <c r="G20" s="27">
        <v>23567</v>
      </c>
      <c r="H20" s="27">
        <v>21260</v>
      </c>
      <c r="I20" s="27">
        <v>18685</v>
      </c>
      <c r="J20" s="27">
        <f t="shared" si="0"/>
        <v>465836</v>
      </c>
    </row>
    <row r="21" spans="1:10" x14ac:dyDescent="0.25">
      <c r="A21" s="1">
        <v>12</v>
      </c>
      <c r="B21" s="1" t="s">
        <v>331</v>
      </c>
      <c r="C21" s="27">
        <v>666220</v>
      </c>
      <c r="D21" s="27">
        <v>0</v>
      </c>
      <c r="E21" s="27">
        <v>0</v>
      </c>
      <c r="F21" s="27">
        <v>0</v>
      </c>
      <c r="G21" s="27"/>
      <c r="H21" s="27">
        <v>0</v>
      </c>
      <c r="I21" s="27"/>
      <c r="J21" s="27">
        <f t="shared" si="0"/>
        <v>666220</v>
      </c>
    </row>
    <row r="22" spans="1:10" x14ac:dyDescent="0.25">
      <c r="A22" s="1">
        <v>13</v>
      </c>
      <c r="B22" s="1" t="s">
        <v>88</v>
      </c>
      <c r="C22" s="27">
        <v>158109</v>
      </c>
      <c r="D22" s="27">
        <v>0</v>
      </c>
      <c r="E22" s="27">
        <v>0</v>
      </c>
      <c r="F22" s="27">
        <v>0</v>
      </c>
      <c r="G22" s="27"/>
      <c r="H22" s="27">
        <v>0</v>
      </c>
      <c r="I22" s="27">
        <v>11200</v>
      </c>
      <c r="J22" s="27">
        <f t="shared" si="0"/>
        <v>169309</v>
      </c>
    </row>
    <row r="23" spans="1:10" x14ac:dyDescent="0.25">
      <c r="A23" s="1">
        <v>14</v>
      </c>
      <c r="B23" s="1" t="s">
        <v>89</v>
      </c>
      <c r="C23" s="27">
        <v>104546</v>
      </c>
      <c r="D23" s="27">
        <v>0</v>
      </c>
      <c r="E23" s="27">
        <v>0</v>
      </c>
      <c r="F23" s="27">
        <v>0</v>
      </c>
      <c r="G23" s="27"/>
      <c r="H23" s="27">
        <v>0</v>
      </c>
      <c r="I23" s="27"/>
      <c r="J23" s="27">
        <f t="shared" si="0"/>
        <v>104546</v>
      </c>
    </row>
    <row r="24" spans="1:10" x14ac:dyDescent="0.25">
      <c r="A24" s="1">
        <v>14</v>
      </c>
      <c r="B24" s="1" t="s">
        <v>90</v>
      </c>
      <c r="C24" s="27">
        <v>722500</v>
      </c>
      <c r="D24" s="27">
        <v>0</v>
      </c>
      <c r="E24" s="27">
        <v>0</v>
      </c>
      <c r="F24" s="27">
        <v>0</v>
      </c>
      <c r="G24" s="27"/>
      <c r="H24" s="27">
        <v>0</v>
      </c>
      <c r="I24" s="27">
        <v>0</v>
      </c>
      <c r="J24" s="27">
        <f t="shared" si="0"/>
        <v>722500</v>
      </c>
    </row>
    <row r="25" spans="1:10" x14ac:dyDescent="0.25">
      <c r="A25" s="1">
        <v>15</v>
      </c>
      <c r="B25" s="76" t="s">
        <v>120</v>
      </c>
      <c r="C25" s="27">
        <v>80483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f t="shared" si="0"/>
        <v>80483</v>
      </c>
    </row>
    <row r="26" spans="1:10" x14ac:dyDescent="0.25">
      <c r="A26" s="1">
        <v>16</v>
      </c>
      <c r="B26" s="1" t="s">
        <v>128</v>
      </c>
      <c r="C26" s="27">
        <v>492576</v>
      </c>
      <c r="D26" s="27">
        <v>8373</v>
      </c>
      <c r="E26" s="27">
        <v>3025</v>
      </c>
      <c r="F26" s="27">
        <v>7630</v>
      </c>
      <c r="G26" s="27">
        <v>4476</v>
      </c>
      <c r="H26" s="27">
        <v>11740</v>
      </c>
      <c r="I26" s="27">
        <v>5145</v>
      </c>
      <c r="J26" s="27">
        <f t="shared" si="0"/>
        <v>532965</v>
      </c>
    </row>
    <row r="27" spans="1:10" x14ac:dyDescent="0.25">
      <c r="A27" s="1">
        <v>17</v>
      </c>
      <c r="B27" s="1" t="s">
        <v>127</v>
      </c>
      <c r="C27" s="27">
        <v>43000</v>
      </c>
      <c r="D27" s="27"/>
      <c r="E27" s="27"/>
      <c r="F27" s="27">
        <v>0</v>
      </c>
      <c r="G27" s="27"/>
      <c r="H27" s="27"/>
      <c r="I27" s="27">
        <v>1000</v>
      </c>
      <c r="J27" s="27">
        <f t="shared" si="0"/>
        <v>44000</v>
      </c>
    </row>
    <row r="28" spans="1:10" x14ac:dyDescent="0.25">
      <c r="A28" s="1">
        <v>18</v>
      </c>
      <c r="B28" s="1" t="s">
        <v>129</v>
      </c>
      <c r="C28" s="27">
        <v>2768710</v>
      </c>
      <c r="D28" s="27">
        <v>45600</v>
      </c>
      <c r="E28" s="27">
        <v>12800</v>
      </c>
      <c r="F28" s="27">
        <v>172000</v>
      </c>
      <c r="G28" s="27">
        <v>129000</v>
      </c>
      <c r="H28" s="27">
        <v>193800</v>
      </c>
      <c r="I28" s="27">
        <v>127600</v>
      </c>
      <c r="J28" s="27">
        <f t="shared" si="0"/>
        <v>3449510</v>
      </c>
    </row>
    <row r="29" spans="1:10" x14ac:dyDescent="0.25">
      <c r="A29" s="1">
        <v>19</v>
      </c>
      <c r="B29" s="1" t="s">
        <v>157</v>
      </c>
      <c r="C29" s="27">
        <v>37926</v>
      </c>
      <c r="D29" s="27">
        <v>0</v>
      </c>
      <c r="E29" s="27">
        <v>0</v>
      </c>
      <c r="F29" s="27">
        <v>0</v>
      </c>
      <c r="G29" s="27">
        <v>4050</v>
      </c>
      <c r="H29" s="27">
        <v>0</v>
      </c>
      <c r="I29" s="27"/>
      <c r="J29" s="27">
        <f t="shared" si="0"/>
        <v>41976</v>
      </c>
    </row>
    <row r="30" spans="1:10" x14ac:dyDescent="0.25">
      <c r="A30" s="1">
        <v>20</v>
      </c>
      <c r="B30" s="1" t="s">
        <v>158</v>
      </c>
      <c r="C30" s="27">
        <v>1360</v>
      </c>
      <c r="D30" s="27">
        <v>0</v>
      </c>
      <c r="E30" s="27">
        <v>0</v>
      </c>
      <c r="F30" s="27">
        <v>0</v>
      </c>
      <c r="G30" s="27">
        <v>0</v>
      </c>
      <c r="H30" s="27">
        <v>2520</v>
      </c>
      <c r="I30" s="27">
        <v>0</v>
      </c>
      <c r="J30" s="27">
        <f t="shared" si="0"/>
        <v>3880</v>
      </c>
    </row>
    <row r="31" spans="1:10" x14ac:dyDescent="0.25">
      <c r="A31" s="66">
        <v>21</v>
      </c>
      <c r="B31" s="66" t="s">
        <v>209</v>
      </c>
      <c r="C31" s="27">
        <v>62573</v>
      </c>
      <c r="D31" s="27">
        <v>0</v>
      </c>
      <c r="E31" s="27">
        <v>0</v>
      </c>
      <c r="F31" s="27">
        <v>0</v>
      </c>
      <c r="G31" s="91">
        <v>0</v>
      </c>
      <c r="H31" s="91">
        <v>0</v>
      </c>
      <c r="I31" s="91">
        <v>0</v>
      </c>
      <c r="J31" s="91">
        <f t="shared" si="0"/>
        <v>62573</v>
      </c>
    </row>
    <row r="32" spans="1:10" x14ac:dyDescent="0.25">
      <c r="A32" s="66">
        <v>22</v>
      </c>
      <c r="B32" s="66" t="s">
        <v>210</v>
      </c>
      <c r="C32" s="27">
        <v>47610</v>
      </c>
      <c r="D32" s="27">
        <v>0</v>
      </c>
      <c r="E32" s="27">
        <v>0</v>
      </c>
      <c r="F32" s="27">
        <v>0</v>
      </c>
      <c r="G32" s="91">
        <v>0</v>
      </c>
      <c r="H32" s="91">
        <v>0</v>
      </c>
      <c r="I32" s="91">
        <v>0</v>
      </c>
      <c r="J32" s="91">
        <f t="shared" si="0"/>
        <v>47610</v>
      </c>
    </row>
    <row r="33" spans="1:10" x14ac:dyDescent="0.25">
      <c r="A33" s="3">
        <v>23</v>
      </c>
      <c r="B33" s="3" t="s">
        <v>130</v>
      </c>
      <c r="C33" s="15">
        <v>1812545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4">
        <f t="shared" si="0"/>
        <v>1812545</v>
      </c>
    </row>
    <row r="34" spans="1:10" x14ac:dyDescent="0.25">
      <c r="A34" s="3" t="s">
        <v>305</v>
      </c>
      <c r="B34" s="3" t="s">
        <v>306</v>
      </c>
      <c r="C34" s="15">
        <v>2850700</v>
      </c>
      <c r="D34" s="15">
        <v>146300</v>
      </c>
      <c r="E34" s="15">
        <v>230200</v>
      </c>
      <c r="F34" s="15">
        <v>104800</v>
      </c>
      <c r="G34" s="15">
        <v>137500</v>
      </c>
      <c r="H34" s="15">
        <v>82600</v>
      </c>
      <c r="I34" s="15">
        <v>198500</v>
      </c>
      <c r="J34" s="14">
        <f t="shared" si="0"/>
        <v>3750600</v>
      </c>
    </row>
    <row r="35" spans="1:10" x14ac:dyDescent="0.25">
      <c r="A35" s="1">
        <v>24</v>
      </c>
      <c r="B35" s="1" t="s">
        <v>216</v>
      </c>
      <c r="C35" s="14">
        <v>4758477</v>
      </c>
      <c r="D35" s="14">
        <v>87500</v>
      </c>
      <c r="E35" s="14">
        <v>127750</v>
      </c>
      <c r="F35" s="14">
        <v>88000</v>
      </c>
      <c r="G35" s="14">
        <v>88500</v>
      </c>
      <c r="H35" s="14">
        <v>86500</v>
      </c>
      <c r="I35" s="14">
        <v>87000</v>
      </c>
      <c r="J35" s="14">
        <f t="shared" si="0"/>
        <v>5323727</v>
      </c>
    </row>
    <row r="36" spans="1:10" x14ac:dyDescent="0.25">
      <c r="A36" s="1">
        <v>25</v>
      </c>
      <c r="B36" s="1" t="s">
        <v>282</v>
      </c>
      <c r="C36" s="14">
        <v>25500</v>
      </c>
      <c r="D36" s="14">
        <v>0</v>
      </c>
      <c r="E36" s="14">
        <v>0</v>
      </c>
      <c r="F36" s="1">
        <v>0</v>
      </c>
      <c r="G36" s="14">
        <v>0</v>
      </c>
      <c r="H36" s="14">
        <v>0</v>
      </c>
      <c r="I36" s="14">
        <v>0</v>
      </c>
      <c r="J36" s="14">
        <f t="shared" si="0"/>
        <v>25500</v>
      </c>
    </row>
    <row r="37" spans="1:10" x14ac:dyDescent="0.25">
      <c r="A37" s="1"/>
      <c r="B37" s="3" t="s">
        <v>93</v>
      </c>
      <c r="C37" s="15">
        <f t="shared" ref="C37:J37" si="1">SUM(C6:C36)</f>
        <v>42343091</v>
      </c>
      <c r="D37" s="15">
        <f t="shared" si="1"/>
        <v>1121476</v>
      </c>
      <c r="E37" s="15">
        <f t="shared" si="1"/>
        <v>636657</v>
      </c>
      <c r="F37" s="15">
        <f t="shared" si="1"/>
        <v>627381</v>
      </c>
      <c r="G37" s="15">
        <f t="shared" si="1"/>
        <v>544510</v>
      </c>
      <c r="H37" s="15">
        <f>SUM(H6:H36)</f>
        <v>530410</v>
      </c>
      <c r="I37" s="15">
        <f t="shared" si="1"/>
        <v>492050</v>
      </c>
      <c r="J37" s="15">
        <f t="shared" si="1"/>
        <v>46295575</v>
      </c>
    </row>
    <row r="41" spans="1:10" x14ac:dyDescent="0.25">
      <c r="A41" s="1"/>
      <c r="B41" s="3" t="s">
        <v>337</v>
      </c>
      <c r="C41" s="59" t="s">
        <v>395</v>
      </c>
      <c r="D41" s="13">
        <v>43647</v>
      </c>
      <c r="E41" s="13">
        <v>43678</v>
      </c>
      <c r="F41" s="13">
        <v>43709</v>
      </c>
      <c r="G41" s="13">
        <v>43739</v>
      </c>
      <c r="H41" s="13">
        <v>43770</v>
      </c>
      <c r="I41" s="13">
        <v>43800</v>
      </c>
      <c r="J41" s="1" t="s">
        <v>81</v>
      </c>
    </row>
    <row r="42" spans="1:10" x14ac:dyDescent="0.25">
      <c r="A42" s="1">
        <v>16</v>
      </c>
      <c r="B42" s="1" t="s">
        <v>92</v>
      </c>
      <c r="C42" s="14">
        <v>248482</v>
      </c>
      <c r="D42" s="14"/>
      <c r="E42" s="14">
        <v>0</v>
      </c>
      <c r="F42" s="14">
        <v>0</v>
      </c>
      <c r="G42" s="14"/>
      <c r="H42" s="27"/>
      <c r="I42" s="27"/>
      <c r="J42" s="14">
        <f t="shared" ref="J42:J61" si="2">SUM(C42:I42)</f>
        <v>248482</v>
      </c>
    </row>
    <row r="43" spans="1:10" x14ac:dyDescent="0.25">
      <c r="A43" s="1">
        <v>17</v>
      </c>
      <c r="B43" s="1" t="s">
        <v>97</v>
      </c>
      <c r="C43" s="14">
        <v>190000</v>
      </c>
      <c r="D43" s="14">
        <v>0</v>
      </c>
      <c r="E43" s="14">
        <v>0</v>
      </c>
      <c r="F43" s="14">
        <v>0</v>
      </c>
      <c r="G43" s="14">
        <v>0</v>
      </c>
      <c r="H43" s="27">
        <v>0</v>
      </c>
      <c r="I43" s="27"/>
      <c r="J43" s="14">
        <f t="shared" si="2"/>
        <v>190000</v>
      </c>
    </row>
    <row r="44" spans="1:10" x14ac:dyDescent="0.25">
      <c r="A44" s="1">
        <v>18</v>
      </c>
      <c r="B44" s="1" t="s">
        <v>98</v>
      </c>
      <c r="C44" s="14">
        <v>96311</v>
      </c>
      <c r="D44" s="14">
        <v>1000</v>
      </c>
      <c r="E44" s="14">
        <v>1115</v>
      </c>
      <c r="F44" s="14">
        <v>4000</v>
      </c>
      <c r="G44" s="14">
        <v>2948</v>
      </c>
      <c r="H44" s="27">
        <v>1052</v>
      </c>
      <c r="I44" s="27">
        <v>990</v>
      </c>
      <c r="J44" s="14">
        <f t="shared" si="2"/>
        <v>107416</v>
      </c>
    </row>
    <row r="45" spans="1:10" x14ac:dyDescent="0.25">
      <c r="A45" s="1">
        <v>19</v>
      </c>
      <c r="B45" s="1" t="s">
        <v>46</v>
      </c>
      <c r="C45" s="14">
        <v>72876</v>
      </c>
      <c r="D45" s="14">
        <v>625</v>
      </c>
      <c r="E45" s="14">
        <v>555</v>
      </c>
      <c r="F45" s="14">
        <v>650</v>
      </c>
      <c r="G45" s="14">
        <v>615</v>
      </c>
      <c r="H45" s="27">
        <v>930</v>
      </c>
      <c r="I45" s="27">
        <v>515</v>
      </c>
      <c r="J45" s="14">
        <f t="shared" si="2"/>
        <v>76766</v>
      </c>
    </row>
    <row r="46" spans="1:10" x14ac:dyDescent="0.25">
      <c r="A46" s="1">
        <v>20</v>
      </c>
      <c r="B46" s="1" t="s">
        <v>14</v>
      </c>
      <c r="C46" s="14">
        <v>109606</v>
      </c>
      <c r="D46" s="14">
        <v>370</v>
      </c>
      <c r="E46" s="14">
        <v>5085</v>
      </c>
      <c r="F46" s="14">
        <v>1685</v>
      </c>
      <c r="G46" s="14">
        <v>1735</v>
      </c>
      <c r="H46" s="27">
        <v>1675</v>
      </c>
      <c r="I46" s="27">
        <v>1285</v>
      </c>
      <c r="J46" s="14">
        <f t="shared" si="2"/>
        <v>121441</v>
      </c>
    </row>
    <row r="47" spans="1:10" x14ac:dyDescent="0.25">
      <c r="A47" s="3">
        <v>21</v>
      </c>
      <c r="B47" s="3" t="s">
        <v>376</v>
      </c>
      <c r="C47" s="14">
        <v>558627</v>
      </c>
      <c r="D47" s="14">
        <v>26041</v>
      </c>
      <c r="E47" s="14">
        <v>14740</v>
      </c>
      <c r="F47" s="14">
        <v>46390</v>
      </c>
      <c r="G47" s="14">
        <v>37601</v>
      </c>
      <c r="H47" s="27">
        <v>8255</v>
      </c>
      <c r="I47" s="27">
        <v>40400</v>
      </c>
      <c r="J47" s="14">
        <f t="shared" si="2"/>
        <v>732054</v>
      </c>
    </row>
    <row r="48" spans="1:10" x14ac:dyDescent="0.25">
      <c r="A48" s="3"/>
      <c r="B48" s="3" t="s">
        <v>348</v>
      </c>
      <c r="C48" s="14">
        <v>89500</v>
      </c>
      <c r="D48" s="14">
        <v>0</v>
      </c>
      <c r="E48" s="14">
        <v>5000</v>
      </c>
      <c r="F48" s="14">
        <v>5000</v>
      </c>
      <c r="G48" s="14"/>
      <c r="H48" s="27"/>
      <c r="I48" s="27"/>
      <c r="J48" s="14">
        <f t="shared" si="2"/>
        <v>99500</v>
      </c>
    </row>
    <row r="49" spans="1:10" x14ac:dyDescent="0.25">
      <c r="A49" s="1">
        <v>22</v>
      </c>
      <c r="B49" s="1" t="s">
        <v>333</v>
      </c>
      <c r="C49" s="14">
        <v>347095</v>
      </c>
      <c r="D49" s="14">
        <v>35869</v>
      </c>
      <c r="E49" s="14">
        <v>11386</v>
      </c>
      <c r="F49" s="14">
        <v>2350</v>
      </c>
      <c r="G49" s="14">
        <v>0</v>
      </c>
      <c r="H49" s="27">
        <v>8000</v>
      </c>
      <c r="I49" s="27">
        <v>10465</v>
      </c>
      <c r="J49" s="14">
        <f t="shared" si="2"/>
        <v>415165</v>
      </c>
    </row>
    <row r="50" spans="1:10" x14ac:dyDescent="0.25">
      <c r="A50" s="1">
        <v>23</v>
      </c>
      <c r="B50" s="1" t="s">
        <v>352</v>
      </c>
      <c r="C50" s="14">
        <v>439500</v>
      </c>
      <c r="D50" s="14">
        <v>56400</v>
      </c>
      <c r="E50" s="14">
        <v>0</v>
      </c>
      <c r="F50" s="14">
        <v>0</v>
      </c>
      <c r="G50" s="14"/>
      <c r="H50" s="27"/>
      <c r="I50" s="27"/>
      <c r="J50" s="14">
        <f t="shared" si="2"/>
        <v>495900</v>
      </c>
    </row>
    <row r="51" spans="1:10" x14ac:dyDescent="0.25">
      <c r="A51" s="1"/>
      <c r="B51" s="1" t="s">
        <v>353</v>
      </c>
      <c r="C51" s="14">
        <v>115090</v>
      </c>
      <c r="D51" s="14">
        <v>19000</v>
      </c>
      <c r="E51" s="14">
        <v>0</v>
      </c>
      <c r="F51" s="14">
        <v>0</v>
      </c>
      <c r="G51" s="14"/>
      <c r="H51" s="27"/>
      <c r="I51" s="27"/>
      <c r="J51" s="14">
        <f t="shared" si="2"/>
        <v>134090</v>
      </c>
    </row>
    <row r="52" spans="1:10" x14ac:dyDescent="0.25">
      <c r="A52" s="1">
        <v>24</v>
      </c>
      <c r="B52" s="1" t="s">
        <v>351</v>
      </c>
      <c r="C52" s="14">
        <v>349560</v>
      </c>
      <c r="D52" s="14">
        <v>0</v>
      </c>
      <c r="E52" s="14">
        <v>0</v>
      </c>
      <c r="F52" s="14">
        <v>0</v>
      </c>
      <c r="G52" s="14">
        <v>0</v>
      </c>
      <c r="H52" s="27">
        <v>57490</v>
      </c>
      <c r="I52" s="27">
        <v>31600</v>
      </c>
      <c r="J52" s="14">
        <f t="shared" si="2"/>
        <v>438650</v>
      </c>
    </row>
    <row r="53" spans="1:10" x14ac:dyDescent="0.25">
      <c r="A53" s="1"/>
      <c r="B53" s="3" t="s">
        <v>350</v>
      </c>
      <c r="C53" s="14">
        <v>72000</v>
      </c>
      <c r="D53" s="14">
        <v>0</v>
      </c>
      <c r="E53" s="14">
        <v>15000</v>
      </c>
      <c r="F53" s="14">
        <v>0</v>
      </c>
      <c r="G53" s="14">
        <v>10000</v>
      </c>
      <c r="H53" s="27">
        <v>20500</v>
      </c>
      <c r="I53" s="27">
        <v>9000</v>
      </c>
      <c r="J53" s="14">
        <f t="shared" si="2"/>
        <v>126500</v>
      </c>
    </row>
    <row r="54" spans="1:10" x14ac:dyDescent="0.25">
      <c r="A54" s="1">
        <v>25</v>
      </c>
      <c r="B54" s="1" t="s">
        <v>347</v>
      </c>
      <c r="C54" s="14">
        <v>309782</v>
      </c>
      <c r="D54" s="14">
        <v>46339</v>
      </c>
      <c r="E54" s="14">
        <v>16672</v>
      </c>
      <c r="F54" s="14">
        <v>300</v>
      </c>
      <c r="G54" s="14">
        <v>920</v>
      </c>
      <c r="H54" s="27">
        <v>67620</v>
      </c>
      <c r="I54" s="27"/>
      <c r="J54" s="14">
        <f t="shared" si="2"/>
        <v>441633</v>
      </c>
    </row>
    <row r="55" spans="1:10" x14ac:dyDescent="0.25">
      <c r="A55" s="1" t="s">
        <v>390</v>
      </c>
      <c r="B55" s="3" t="s">
        <v>391</v>
      </c>
      <c r="C55" s="14">
        <v>75000</v>
      </c>
      <c r="D55" s="14">
        <v>0</v>
      </c>
      <c r="E55" s="14">
        <v>5000</v>
      </c>
      <c r="F55" s="14">
        <v>2000</v>
      </c>
      <c r="G55" s="14">
        <v>20000</v>
      </c>
      <c r="H55" s="27">
        <v>0</v>
      </c>
      <c r="I55" s="27">
        <v>21000</v>
      </c>
      <c r="J55" s="14">
        <f t="shared" si="2"/>
        <v>123000</v>
      </c>
    </row>
    <row r="56" spans="1:10" x14ac:dyDescent="0.25">
      <c r="A56" s="1">
        <v>26</v>
      </c>
      <c r="B56" s="1" t="s">
        <v>349</v>
      </c>
      <c r="C56" s="14">
        <v>50692</v>
      </c>
      <c r="D56" s="14">
        <v>0</v>
      </c>
      <c r="E56" s="14">
        <v>0</v>
      </c>
      <c r="F56" s="14">
        <v>0</v>
      </c>
      <c r="G56" s="14"/>
      <c r="H56" s="27"/>
      <c r="I56" s="27"/>
      <c r="J56" s="14">
        <f t="shared" si="2"/>
        <v>50692</v>
      </c>
    </row>
    <row r="57" spans="1:10" x14ac:dyDescent="0.25">
      <c r="A57" s="1">
        <v>27</v>
      </c>
      <c r="B57" s="1" t="s">
        <v>354</v>
      </c>
      <c r="C57" s="14">
        <v>98470</v>
      </c>
      <c r="D57" s="14">
        <v>0</v>
      </c>
      <c r="E57" s="14">
        <v>7180</v>
      </c>
      <c r="F57" s="14">
        <v>0</v>
      </c>
      <c r="G57" s="14"/>
      <c r="H57" s="27"/>
      <c r="I57" s="27"/>
      <c r="J57" s="14">
        <f t="shared" si="2"/>
        <v>105650</v>
      </c>
    </row>
    <row r="58" spans="1:10" x14ac:dyDescent="0.25">
      <c r="A58" s="1">
        <v>28</v>
      </c>
      <c r="B58" s="3" t="s">
        <v>382</v>
      </c>
      <c r="C58" s="14">
        <v>55000</v>
      </c>
      <c r="D58" s="14">
        <v>5000</v>
      </c>
      <c r="E58" s="14">
        <v>15000</v>
      </c>
      <c r="F58" s="14">
        <v>8000</v>
      </c>
      <c r="G58" s="14"/>
      <c r="H58" s="27"/>
      <c r="I58" s="27"/>
      <c r="J58" s="14">
        <f t="shared" si="2"/>
        <v>83000</v>
      </c>
    </row>
    <row r="59" spans="1:10" x14ac:dyDescent="0.25">
      <c r="A59" s="1">
        <v>29</v>
      </c>
      <c r="B59" s="3" t="s">
        <v>355</v>
      </c>
      <c r="C59" s="14">
        <v>195000</v>
      </c>
      <c r="D59" s="14">
        <v>53000</v>
      </c>
      <c r="E59" s="14">
        <v>0</v>
      </c>
      <c r="F59" s="14">
        <v>10000</v>
      </c>
      <c r="G59" s="14">
        <v>15000</v>
      </c>
      <c r="H59" s="27">
        <v>15000</v>
      </c>
      <c r="I59" s="27">
        <v>3000</v>
      </c>
      <c r="J59" s="14">
        <f t="shared" si="2"/>
        <v>291000</v>
      </c>
    </row>
    <row r="60" spans="1:10" x14ac:dyDescent="0.25">
      <c r="A60" s="1">
        <v>30</v>
      </c>
      <c r="B60" s="38" t="s">
        <v>275</v>
      </c>
      <c r="C60" s="77">
        <v>3479400</v>
      </c>
      <c r="D60" s="77">
        <v>0</v>
      </c>
      <c r="E60" s="77">
        <v>0</v>
      </c>
      <c r="F60" s="77">
        <v>0</v>
      </c>
      <c r="G60" s="77">
        <v>504000</v>
      </c>
      <c r="H60" s="79"/>
      <c r="I60" s="79"/>
      <c r="J60" s="77">
        <f t="shared" si="2"/>
        <v>3983400</v>
      </c>
    </row>
    <row r="61" spans="1:10" x14ac:dyDescent="0.25">
      <c r="A61" s="1">
        <v>31</v>
      </c>
      <c r="B61" s="1" t="s">
        <v>314</v>
      </c>
      <c r="C61" s="77">
        <v>835000</v>
      </c>
      <c r="D61" s="77">
        <v>0</v>
      </c>
      <c r="E61" s="77">
        <v>0</v>
      </c>
      <c r="F61" s="77">
        <v>0</v>
      </c>
      <c r="G61" s="77">
        <v>0</v>
      </c>
      <c r="H61" s="79">
        <v>0</v>
      </c>
      <c r="I61" s="79"/>
      <c r="J61" s="77">
        <f t="shared" si="2"/>
        <v>835000</v>
      </c>
    </row>
    <row r="62" spans="1:10" x14ac:dyDescent="0.25">
      <c r="A62" s="1"/>
      <c r="B62" s="3" t="s">
        <v>93</v>
      </c>
      <c r="C62" s="74">
        <f t="shared" ref="C62:J62" si="3">SUM(C42:C59)</f>
        <v>3472591</v>
      </c>
      <c r="D62" s="74">
        <f t="shared" si="3"/>
        <v>243644</v>
      </c>
      <c r="E62" s="74">
        <f t="shared" si="3"/>
        <v>96733</v>
      </c>
      <c r="F62" s="74">
        <f t="shared" si="3"/>
        <v>80375</v>
      </c>
      <c r="G62" s="74">
        <f t="shared" si="3"/>
        <v>88819</v>
      </c>
      <c r="H62" s="74">
        <f t="shared" si="3"/>
        <v>180522</v>
      </c>
      <c r="I62" s="74">
        <f t="shared" si="3"/>
        <v>118255</v>
      </c>
      <c r="J62" s="74">
        <f t="shared" si="3"/>
        <v>4280939</v>
      </c>
    </row>
    <row r="63" spans="1:10" ht="15.75" x14ac:dyDescent="0.25">
      <c r="A63" s="1"/>
      <c r="B63" s="8" t="s">
        <v>94</v>
      </c>
      <c r="C63" s="16">
        <f t="shared" ref="C63:I63" si="4">C37+C62</f>
        <v>45815682</v>
      </c>
      <c r="D63" s="16">
        <f t="shared" si="4"/>
        <v>1365120</v>
      </c>
      <c r="E63" s="16">
        <f t="shared" si="4"/>
        <v>733390</v>
      </c>
      <c r="F63" s="16">
        <f t="shared" si="4"/>
        <v>707756</v>
      </c>
      <c r="G63" s="16">
        <f t="shared" si="4"/>
        <v>633329</v>
      </c>
      <c r="H63" s="16">
        <f t="shared" si="4"/>
        <v>710932</v>
      </c>
      <c r="I63" s="16">
        <f t="shared" si="4"/>
        <v>610305</v>
      </c>
      <c r="J63" s="16">
        <f>SUM(J37+J62)</f>
        <v>50576514</v>
      </c>
    </row>
    <row r="64" spans="1:10" x14ac:dyDescent="0.25">
      <c r="J64" s="12"/>
    </row>
    <row r="65" spans="1:10" x14ac:dyDescent="0.25">
      <c r="J65" s="26"/>
    </row>
    <row r="70" spans="1:10" ht="18.75" x14ac:dyDescent="0.3">
      <c r="B70" s="5"/>
    </row>
    <row r="71" spans="1:10" ht="18.75" x14ac:dyDescent="0.3">
      <c r="B71" s="5"/>
    </row>
    <row r="72" spans="1:10" ht="18.75" x14ac:dyDescent="0.3">
      <c r="B72" s="5"/>
    </row>
    <row r="73" spans="1:10" ht="18.75" x14ac:dyDescent="0.3">
      <c r="B73" s="5"/>
    </row>
    <row r="74" spans="1:10" ht="18.75" x14ac:dyDescent="0.3">
      <c r="B74" s="5"/>
    </row>
    <row r="75" spans="1:10" x14ac:dyDescent="0.25">
      <c r="A75" s="61"/>
      <c r="B75" s="61"/>
      <c r="C75" s="80"/>
      <c r="D75" s="60"/>
      <c r="E75" s="60"/>
      <c r="F75" s="60"/>
      <c r="G75" s="61"/>
    </row>
    <row r="76" spans="1:10" ht="18.75" x14ac:dyDescent="0.3">
      <c r="B76" s="5" t="s">
        <v>80</v>
      </c>
    </row>
    <row r="77" spans="1:10" ht="18.75" x14ac:dyDescent="0.3">
      <c r="B77" s="5" t="s">
        <v>64</v>
      </c>
    </row>
    <row r="78" spans="1:10" ht="18.75" x14ac:dyDescent="0.3">
      <c r="B78" s="5" t="s">
        <v>271</v>
      </c>
    </row>
    <row r="79" spans="1:10" ht="18.75" x14ac:dyDescent="0.3">
      <c r="B79" s="5" t="s">
        <v>402</v>
      </c>
    </row>
    <row r="80" spans="1:10" ht="18.75" x14ac:dyDescent="0.3">
      <c r="B80" s="5"/>
    </row>
    <row r="81" spans="1:10" x14ac:dyDescent="0.25">
      <c r="A81" s="3" t="s">
        <v>163</v>
      </c>
      <c r="B81" s="3" t="s">
        <v>164</v>
      </c>
      <c r="C81" s="59" t="s">
        <v>395</v>
      </c>
      <c r="D81" s="13">
        <v>43647</v>
      </c>
      <c r="E81" s="13">
        <v>43678</v>
      </c>
      <c r="F81" s="13">
        <v>43709</v>
      </c>
      <c r="G81" s="13">
        <v>43739</v>
      </c>
      <c r="H81" s="13">
        <v>43770</v>
      </c>
      <c r="I81" s="13">
        <v>43800</v>
      </c>
      <c r="J81" s="1" t="s">
        <v>81</v>
      </c>
    </row>
    <row r="82" spans="1:10" x14ac:dyDescent="0.25">
      <c r="A82" s="38">
        <v>1</v>
      </c>
      <c r="B82" s="1" t="s">
        <v>199</v>
      </c>
      <c r="C82" s="14">
        <v>491500</v>
      </c>
      <c r="D82" s="1"/>
      <c r="E82" s="1"/>
      <c r="F82" s="1"/>
      <c r="G82" s="70"/>
      <c r="H82" s="1"/>
      <c r="I82" s="1"/>
      <c r="J82" s="70">
        <f>SUM(C82:I82)</f>
        <v>491500</v>
      </c>
    </row>
    <row r="83" spans="1:10" x14ac:dyDescent="0.25">
      <c r="A83" s="38"/>
      <c r="B83" s="1" t="s">
        <v>202</v>
      </c>
      <c r="C83" s="14">
        <v>105000</v>
      </c>
      <c r="D83" s="1"/>
      <c r="E83" s="1"/>
      <c r="F83" s="1"/>
      <c r="G83" s="70"/>
      <c r="H83" s="1"/>
      <c r="I83" s="1"/>
      <c r="J83" s="70">
        <f t="shared" ref="J83:J88" si="5">SUM(C83:I83)</f>
        <v>105000</v>
      </c>
    </row>
    <row r="84" spans="1:10" x14ac:dyDescent="0.25">
      <c r="A84" s="38">
        <v>2</v>
      </c>
      <c r="B84" s="1" t="s">
        <v>223</v>
      </c>
      <c r="C84" s="14">
        <v>1874900</v>
      </c>
      <c r="D84" s="1">
        <v>504000</v>
      </c>
      <c r="E84" s="1"/>
      <c r="F84" s="1"/>
      <c r="G84" s="70"/>
      <c r="H84" s="1"/>
      <c r="I84" s="1"/>
      <c r="J84" s="70">
        <f t="shared" si="5"/>
        <v>2378900</v>
      </c>
    </row>
    <row r="85" spans="1:10" x14ac:dyDescent="0.25">
      <c r="A85" s="38">
        <v>3</v>
      </c>
      <c r="B85" s="1" t="s">
        <v>222</v>
      </c>
      <c r="C85" s="14">
        <v>565000</v>
      </c>
      <c r="D85" s="1"/>
      <c r="E85" s="1"/>
      <c r="F85" s="1"/>
      <c r="G85" s="70"/>
      <c r="H85" s="1"/>
      <c r="I85" s="1"/>
      <c r="J85" s="70">
        <f t="shared" si="5"/>
        <v>565000</v>
      </c>
    </row>
    <row r="86" spans="1:10" x14ac:dyDescent="0.25">
      <c r="A86" s="38">
        <v>4</v>
      </c>
      <c r="B86" s="1" t="s">
        <v>231</v>
      </c>
      <c r="C86" s="14">
        <v>536000</v>
      </c>
      <c r="D86" s="1"/>
      <c r="E86" s="1"/>
      <c r="F86" s="1"/>
      <c r="G86" s="70"/>
      <c r="H86" s="1"/>
      <c r="I86" s="1"/>
      <c r="J86" s="70">
        <f t="shared" si="5"/>
        <v>536000</v>
      </c>
    </row>
    <row r="87" spans="1:10" x14ac:dyDescent="0.25">
      <c r="A87" s="38">
        <v>5</v>
      </c>
      <c r="B87" s="38" t="s">
        <v>241</v>
      </c>
      <c r="C87" s="27">
        <v>700000</v>
      </c>
      <c r="D87" s="1"/>
      <c r="E87" s="1"/>
      <c r="F87" s="1"/>
      <c r="G87" s="72"/>
      <c r="H87" s="1"/>
      <c r="I87" s="1"/>
      <c r="J87" s="70">
        <f t="shared" si="5"/>
        <v>700000</v>
      </c>
    </row>
    <row r="88" spans="1:10" x14ac:dyDescent="0.25">
      <c r="A88" s="38">
        <v>6</v>
      </c>
      <c r="B88" s="38" t="s">
        <v>309</v>
      </c>
      <c r="C88" s="27">
        <v>20000</v>
      </c>
      <c r="D88" s="1"/>
      <c r="E88" s="1"/>
      <c r="F88" s="1"/>
      <c r="G88" s="72"/>
      <c r="H88" s="1"/>
      <c r="I88" s="1"/>
      <c r="J88" s="70">
        <f t="shared" si="5"/>
        <v>20000</v>
      </c>
    </row>
    <row r="89" spans="1:10" x14ac:dyDescent="0.25">
      <c r="A89" s="1"/>
      <c r="B89" s="71" t="s">
        <v>138</v>
      </c>
      <c r="C89" s="15">
        <f>SUM(C82:C88)</f>
        <v>4292400</v>
      </c>
      <c r="D89" s="15">
        <f>SUM(D82:D87)</f>
        <v>504000</v>
      </c>
      <c r="E89" s="15">
        <f>SUM(E82:E88)</f>
        <v>0</v>
      </c>
      <c r="F89" s="15">
        <f>SUM(F82:F87)</f>
        <v>0</v>
      </c>
      <c r="G89" s="15">
        <f>SUM(G82:G87)</f>
        <v>0</v>
      </c>
      <c r="H89" s="1"/>
      <c r="I89" s="15">
        <f>SUM(I82:I88)</f>
        <v>0</v>
      </c>
      <c r="J89" s="15">
        <f>SUM(J82:J88)</f>
        <v>4796400</v>
      </c>
    </row>
    <row r="90" spans="1:10" x14ac:dyDescent="0.25">
      <c r="A90" s="22"/>
      <c r="B90" s="85"/>
      <c r="C90" s="86"/>
      <c r="D90" s="86"/>
      <c r="E90" s="86"/>
      <c r="F90" s="86"/>
      <c r="G90" s="86"/>
      <c r="H90" s="22"/>
      <c r="I90" s="22"/>
      <c r="J90" s="86"/>
    </row>
    <row r="91" spans="1:10" x14ac:dyDescent="0.25">
      <c r="A91" s="22"/>
      <c r="B91" s="85"/>
      <c r="C91" s="86"/>
      <c r="D91" s="86"/>
      <c r="E91" s="86"/>
      <c r="F91" s="86"/>
      <c r="G91" s="86"/>
      <c r="H91" s="22"/>
      <c r="I91" s="22"/>
      <c r="J91" s="86"/>
    </row>
    <row r="92" spans="1:10" ht="18.75" x14ac:dyDescent="0.3">
      <c r="B92" s="5" t="s">
        <v>80</v>
      </c>
    </row>
    <row r="93" spans="1:10" ht="18.75" x14ac:dyDescent="0.3">
      <c r="B93" s="5" t="s">
        <v>64</v>
      </c>
    </row>
    <row r="94" spans="1:10" ht="18.75" x14ac:dyDescent="0.3">
      <c r="B94" s="5" t="s">
        <v>272</v>
      </c>
    </row>
    <row r="95" spans="1:10" ht="18.75" x14ac:dyDescent="0.3">
      <c r="B95" s="5" t="s">
        <v>402</v>
      </c>
    </row>
    <row r="96" spans="1:10" ht="18.75" x14ac:dyDescent="0.3">
      <c r="B96" s="5"/>
    </row>
    <row r="97" spans="1:10" x14ac:dyDescent="0.25">
      <c r="A97" s="3" t="s">
        <v>163</v>
      </c>
      <c r="B97" s="3" t="s">
        <v>164</v>
      </c>
      <c r="C97" s="59" t="s">
        <v>395</v>
      </c>
      <c r="D97" s="13">
        <v>43647</v>
      </c>
      <c r="E97" s="13">
        <v>43678</v>
      </c>
      <c r="F97" s="13">
        <v>43709</v>
      </c>
      <c r="G97" s="13">
        <v>43739</v>
      </c>
      <c r="H97" s="13">
        <v>43770</v>
      </c>
      <c r="I97" s="13">
        <v>43800</v>
      </c>
      <c r="J97" s="1" t="s">
        <v>81</v>
      </c>
    </row>
    <row r="98" spans="1:10" x14ac:dyDescent="0.25">
      <c r="A98" s="38">
        <v>1</v>
      </c>
      <c r="B98" s="1" t="s">
        <v>199</v>
      </c>
      <c r="C98" s="14"/>
      <c r="D98" s="1"/>
      <c r="E98" s="1"/>
      <c r="F98" s="1"/>
      <c r="G98" s="70"/>
      <c r="H98" s="1"/>
      <c r="I98" s="1"/>
      <c r="J98" s="70">
        <f>SUM(C98:I98)</f>
        <v>0</v>
      </c>
    </row>
    <row r="99" spans="1:10" x14ac:dyDescent="0.25">
      <c r="A99" s="38"/>
      <c r="B99" s="1" t="s">
        <v>202</v>
      </c>
      <c r="C99" s="14">
        <v>0</v>
      </c>
      <c r="D99" s="1"/>
      <c r="E99" s="1"/>
      <c r="F99" s="1"/>
      <c r="G99" s="70"/>
      <c r="H99" s="1"/>
      <c r="I99" s="1"/>
      <c r="J99" s="70">
        <f t="shared" ref="J99:J104" si="6">SUM(C99:I99)</f>
        <v>0</v>
      </c>
    </row>
    <row r="100" spans="1:10" x14ac:dyDescent="0.25">
      <c r="A100" s="38">
        <v>2</v>
      </c>
      <c r="B100" s="1" t="s">
        <v>223</v>
      </c>
      <c r="C100" s="14">
        <v>1874900</v>
      </c>
      <c r="D100" s="1"/>
      <c r="E100" s="1"/>
      <c r="F100" s="1"/>
      <c r="G100" s="70"/>
      <c r="H100" s="1">
        <v>504000</v>
      </c>
      <c r="I100" s="1"/>
      <c r="J100" s="70">
        <f t="shared" si="6"/>
        <v>2378900</v>
      </c>
    </row>
    <row r="101" spans="1:10" x14ac:dyDescent="0.25">
      <c r="A101" s="38">
        <v>3</v>
      </c>
      <c r="B101" s="1" t="s">
        <v>222</v>
      </c>
      <c r="C101" s="14">
        <v>565000</v>
      </c>
      <c r="D101" s="1"/>
      <c r="E101" s="1"/>
      <c r="F101" s="1"/>
      <c r="G101" s="70"/>
      <c r="H101" s="1"/>
      <c r="I101" s="1"/>
      <c r="J101" s="70">
        <f t="shared" si="6"/>
        <v>565000</v>
      </c>
    </row>
    <row r="102" spans="1:10" x14ac:dyDescent="0.25">
      <c r="A102" s="38">
        <v>4</v>
      </c>
      <c r="B102" s="1" t="s">
        <v>231</v>
      </c>
      <c r="C102" s="14">
        <v>536000</v>
      </c>
      <c r="D102" s="1"/>
      <c r="E102" s="1"/>
      <c r="F102" s="1"/>
      <c r="G102" s="70"/>
      <c r="H102" s="1"/>
      <c r="I102" s="1"/>
      <c r="J102" s="70">
        <f t="shared" si="6"/>
        <v>536000</v>
      </c>
    </row>
    <row r="103" spans="1:10" x14ac:dyDescent="0.25">
      <c r="A103" s="38">
        <v>5</v>
      </c>
      <c r="B103" s="38" t="s">
        <v>241</v>
      </c>
      <c r="C103" s="27">
        <v>700000</v>
      </c>
      <c r="D103" s="70"/>
      <c r="E103" s="1"/>
      <c r="F103" s="1"/>
      <c r="G103" s="72"/>
      <c r="H103" s="1"/>
      <c r="I103" s="1"/>
      <c r="J103" s="70">
        <f t="shared" si="6"/>
        <v>700000</v>
      </c>
    </row>
    <row r="104" spans="1:10" x14ac:dyDescent="0.25">
      <c r="A104" s="38">
        <v>6</v>
      </c>
      <c r="B104" s="38" t="s">
        <v>309</v>
      </c>
      <c r="C104" s="27">
        <v>20000</v>
      </c>
      <c r="D104" s="70"/>
      <c r="E104" s="1"/>
      <c r="F104" s="1"/>
      <c r="G104" s="72"/>
      <c r="H104" s="1"/>
      <c r="I104" s="1"/>
      <c r="J104" s="70">
        <f t="shared" si="6"/>
        <v>20000</v>
      </c>
    </row>
    <row r="105" spans="1:10" x14ac:dyDescent="0.25">
      <c r="A105" s="1"/>
      <c r="B105" s="71" t="s">
        <v>138</v>
      </c>
      <c r="C105" s="70">
        <f>SUM(C98:C104)</f>
        <v>3695900</v>
      </c>
      <c r="D105" s="15">
        <f>SUM(D98:D104)</f>
        <v>0</v>
      </c>
      <c r="E105" s="15">
        <f>SUM(E98:E103)</f>
        <v>0</v>
      </c>
      <c r="F105" s="15">
        <f>SUM(F98:F103)</f>
        <v>0</v>
      </c>
      <c r="G105" s="15">
        <f>SUM(G98:G103)</f>
        <v>0</v>
      </c>
      <c r="H105" s="15">
        <f>SUM(H98:H103)</f>
        <v>504000</v>
      </c>
      <c r="I105" s="15">
        <f>SUM(I98:I103)</f>
        <v>0</v>
      </c>
      <c r="J105" s="70">
        <f>SUM(J98:J104)</f>
        <v>4199900</v>
      </c>
    </row>
    <row r="111" spans="1:10" ht="18.75" x14ac:dyDescent="0.3">
      <c r="B111" s="5" t="s">
        <v>80</v>
      </c>
    </row>
    <row r="112" spans="1:10" ht="18.75" x14ac:dyDescent="0.3">
      <c r="B112" s="5" t="s">
        <v>64</v>
      </c>
    </row>
    <row r="113" spans="1:10" ht="18.75" x14ac:dyDescent="0.3">
      <c r="B113" s="5" t="s">
        <v>279</v>
      </c>
    </row>
    <row r="114" spans="1:10" ht="18.75" x14ac:dyDescent="0.3">
      <c r="B114" s="5" t="s">
        <v>402</v>
      </c>
    </row>
    <row r="116" spans="1:10" x14ac:dyDescent="0.25">
      <c r="A116" s="3" t="s">
        <v>163</v>
      </c>
      <c r="B116" s="3" t="s">
        <v>164</v>
      </c>
      <c r="C116" s="59" t="s">
        <v>281</v>
      </c>
      <c r="D116" s="13" t="s">
        <v>280</v>
      </c>
      <c r="E116" s="13" t="s">
        <v>280</v>
      </c>
      <c r="F116" s="13" t="s">
        <v>280</v>
      </c>
      <c r="G116" s="13" t="s">
        <v>280</v>
      </c>
      <c r="H116" s="13" t="s">
        <v>280</v>
      </c>
      <c r="I116" s="13" t="s">
        <v>280</v>
      </c>
      <c r="J116" s="3" t="s">
        <v>166</v>
      </c>
    </row>
    <row r="117" spans="1:10" x14ac:dyDescent="0.25">
      <c r="A117" s="38">
        <v>1</v>
      </c>
      <c r="B117" s="1" t="s">
        <v>199</v>
      </c>
      <c r="C117" s="14">
        <v>491500</v>
      </c>
      <c r="D117" s="1"/>
      <c r="E117" s="1"/>
      <c r="F117" s="1"/>
      <c r="G117" s="70"/>
      <c r="H117" s="1"/>
      <c r="I117" s="1"/>
      <c r="J117" s="70">
        <f>C117-D117-E117-F117-G117-H117-I117</f>
        <v>491500</v>
      </c>
    </row>
    <row r="118" spans="1:10" x14ac:dyDescent="0.25">
      <c r="A118" s="38"/>
      <c r="B118" s="1" t="s">
        <v>202</v>
      </c>
      <c r="C118" s="14">
        <v>105000</v>
      </c>
      <c r="D118" s="1"/>
      <c r="E118" s="1"/>
      <c r="F118" s="1"/>
      <c r="G118" s="70"/>
      <c r="H118" s="1"/>
      <c r="I118" s="1"/>
      <c r="J118" s="70">
        <f t="shared" ref="J118:J123" si="7">C118-D118-E118-F118-G118-H118-I118</f>
        <v>105000</v>
      </c>
    </row>
    <row r="119" spans="1:10" x14ac:dyDescent="0.25">
      <c r="A119" s="38">
        <v>2</v>
      </c>
      <c r="B119" s="1" t="s">
        <v>223</v>
      </c>
      <c r="C119" s="14">
        <v>2378900</v>
      </c>
      <c r="D119" s="1">
        <v>2378900</v>
      </c>
      <c r="E119" s="1"/>
      <c r="F119" s="1"/>
      <c r="G119" s="70"/>
      <c r="H119" s="1"/>
      <c r="I119" s="1"/>
      <c r="J119" s="70">
        <f t="shared" si="7"/>
        <v>0</v>
      </c>
    </row>
    <row r="120" spans="1:10" x14ac:dyDescent="0.25">
      <c r="A120" s="38">
        <v>3</v>
      </c>
      <c r="B120" s="1" t="s">
        <v>222</v>
      </c>
      <c r="C120" s="14">
        <v>565000</v>
      </c>
      <c r="D120" s="1">
        <v>565000</v>
      </c>
      <c r="E120" s="1"/>
      <c r="F120" s="1"/>
      <c r="G120" s="70"/>
      <c r="H120" s="1"/>
      <c r="I120" s="1"/>
      <c r="J120" s="70">
        <f t="shared" si="7"/>
        <v>0</v>
      </c>
    </row>
    <row r="121" spans="1:10" x14ac:dyDescent="0.25">
      <c r="A121" s="38">
        <v>4</v>
      </c>
      <c r="B121" s="1" t="s">
        <v>231</v>
      </c>
      <c r="C121" s="14">
        <v>536000</v>
      </c>
      <c r="D121" s="1">
        <v>536000</v>
      </c>
      <c r="E121" s="1"/>
      <c r="F121" s="1"/>
      <c r="G121" s="70"/>
      <c r="H121" s="1"/>
      <c r="I121" s="1"/>
      <c r="J121" s="70">
        <f t="shared" si="7"/>
        <v>0</v>
      </c>
    </row>
    <row r="122" spans="1:10" x14ac:dyDescent="0.25">
      <c r="A122" s="38">
        <v>5</v>
      </c>
      <c r="B122" s="38" t="s">
        <v>241</v>
      </c>
      <c r="C122" s="27">
        <v>700000</v>
      </c>
      <c r="D122" s="1">
        <v>700000</v>
      </c>
      <c r="E122" s="1"/>
      <c r="F122" s="1"/>
      <c r="G122" s="72"/>
      <c r="H122" s="1"/>
      <c r="I122" s="1"/>
      <c r="J122" s="70">
        <f t="shared" si="7"/>
        <v>0</v>
      </c>
    </row>
    <row r="123" spans="1:10" x14ac:dyDescent="0.25">
      <c r="A123" s="38">
        <v>6</v>
      </c>
      <c r="B123" s="38" t="s">
        <v>309</v>
      </c>
      <c r="C123" s="27">
        <v>20000</v>
      </c>
      <c r="D123" s="1">
        <v>20000</v>
      </c>
      <c r="E123" s="1"/>
      <c r="F123" s="1"/>
      <c r="G123" s="72"/>
      <c r="H123" s="1"/>
      <c r="I123" s="1">
        <v>0</v>
      </c>
      <c r="J123" s="70">
        <f t="shared" si="7"/>
        <v>0</v>
      </c>
    </row>
    <row r="124" spans="1:10" x14ac:dyDescent="0.25">
      <c r="A124" s="1"/>
      <c r="B124" s="71" t="s">
        <v>138</v>
      </c>
      <c r="C124" s="15">
        <f>SUM(C117:C123)</f>
        <v>4796400</v>
      </c>
      <c r="D124" s="15">
        <f>SUM(D117:D123)</f>
        <v>4199900</v>
      </c>
      <c r="E124" s="15">
        <f>SUM(E117:E123)</f>
        <v>0</v>
      </c>
      <c r="F124" s="15">
        <f>SUM(F117:F122)</f>
        <v>0</v>
      </c>
      <c r="G124" s="15">
        <f>SUM(G117:G122)</f>
        <v>0</v>
      </c>
      <c r="H124" s="1">
        <f>SUM(H117:H123)</f>
        <v>0</v>
      </c>
      <c r="I124" s="1">
        <f>SUM(I117:I123)</f>
        <v>0</v>
      </c>
      <c r="J124" s="15">
        <f>SUM(J117:J123)</f>
        <v>596500</v>
      </c>
    </row>
    <row r="126" spans="1:10" ht="18.75" x14ac:dyDescent="0.3">
      <c r="B126" s="5" t="s">
        <v>377</v>
      </c>
    </row>
    <row r="127" spans="1:10" ht="18.75" x14ac:dyDescent="0.3">
      <c r="B127" s="5" t="s">
        <v>64</v>
      </c>
    </row>
    <row r="128" spans="1:10" ht="18.75" x14ac:dyDescent="0.3">
      <c r="B128" s="5" t="s">
        <v>402</v>
      </c>
    </row>
    <row r="129" spans="1:10" x14ac:dyDescent="0.25">
      <c r="A129" s="3" t="s">
        <v>163</v>
      </c>
      <c r="B129" s="3" t="s">
        <v>164</v>
      </c>
      <c r="C129" s="59" t="s">
        <v>395</v>
      </c>
      <c r="D129" s="13">
        <v>43647</v>
      </c>
      <c r="E129" s="13">
        <v>43678</v>
      </c>
      <c r="F129" s="13">
        <v>43709</v>
      </c>
      <c r="G129" s="13">
        <v>43739</v>
      </c>
      <c r="H129" s="13">
        <v>43770</v>
      </c>
      <c r="I129" s="13">
        <v>43800</v>
      </c>
      <c r="J129" s="1" t="s">
        <v>81</v>
      </c>
    </row>
    <row r="130" spans="1:10" x14ac:dyDescent="0.25">
      <c r="A130" s="38">
        <v>1</v>
      </c>
      <c r="B130" s="59" t="s">
        <v>360</v>
      </c>
      <c r="C130" s="14">
        <v>30000</v>
      </c>
      <c r="D130" s="14">
        <v>0</v>
      </c>
      <c r="E130" s="1"/>
      <c r="F130" s="1"/>
      <c r="G130" s="70"/>
      <c r="H130" s="1"/>
      <c r="I130" s="1"/>
      <c r="J130" s="70">
        <f t="shared" ref="J130:J136" si="8">SUM(C130:I130)</f>
        <v>30000</v>
      </c>
    </row>
    <row r="131" spans="1:10" x14ac:dyDescent="0.25">
      <c r="A131" s="38"/>
      <c r="B131" s="1"/>
      <c r="C131" s="14"/>
      <c r="D131" s="1"/>
      <c r="E131" s="1"/>
      <c r="F131" s="1"/>
      <c r="G131" s="70"/>
      <c r="H131" s="1"/>
      <c r="I131" s="1"/>
      <c r="J131" s="70">
        <f t="shared" si="8"/>
        <v>0</v>
      </c>
    </row>
    <row r="132" spans="1:10" x14ac:dyDescent="0.25">
      <c r="A132" s="38"/>
      <c r="B132" s="1"/>
      <c r="C132" s="14"/>
      <c r="D132" s="1"/>
      <c r="E132" s="1"/>
      <c r="F132" s="1"/>
      <c r="G132" s="70"/>
      <c r="H132" s="1"/>
      <c r="I132" s="1"/>
      <c r="J132" s="70">
        <f t="shared" si="8"/>
        <v>0</v>
      </c>
    </row>
    <row r="133" spans="1:10" x14ac:dyDescent="0.25">
      <c r="A133" s="38"/>
      <c r="B133" s="1"/>
      <c r="C133" s="14"/>
      <c r="D133" s="1"/>
      <c r="E133" s="1"/>
      <c r="F133" s="1"/>
      <c r="G133" s="70"/>
      <c r="H133" s="1"/>
      <c r="I133" s="1"/>
      <c r="J133" s="70">
        <f t="shared" si="8"/>
        <v>0</v>
      </c>
    </row>
    <row r="134" spans="1:10" x14ac:dyDescent="0.25">
      <c r="A134" s="38"/>
      <c r="B134" s="1"/>
      <c r="C134" s="14"/>
      <c r="D134" s="1"/>
      <c r="E134" s="1"/>
      <c r="F134" s="1"/>
      <c r="G134" s="70"/>
      <c r="H134" s="1"/>
      <c r="I134" s="1"/>
      <c r="J134" s="70">
        <f t="shared" si="8"/>
        <v>0</v>
      </c>
    </row>
    <row r="135" spans="1:10" x14ac:dyDescent="0.25">
      <c r="A135" s="38"/>
      <c r="B135" s="38"/>
      <c r="C135" s="27"/>
      <c r="D135" s="1"/>
      <c r="E135" s="1"/>
      <c r="F135" s="1"/>
      <c r="G135" s="72"/>
      <c r="H135" s="1"/>
      <c r="I135" s="1"/>
      <c r="J135" s="70">
        <f t="shared" si="8"/>
        <v>0</v>
      </c>
    </row>
    <row r="136" spans="1:10" x14ac:dyDescent="0.25">
      <c r="A136" s="38"/>
      <c r="B136" s="38"/>
      <c r="C136" s="27"/>
      <c r="D136" s="1"/>
      <c r="E136" s="1"/>
      <c r="F136" s="1"/>
      <c r="G136" s="72"/>
      <c r="H136" s="1"/>
      <c r="I136" s="1"/>
      <c r="J136" s="70">
        <f t="shared" si="8"/>
        <v>0</v>
      </c>
    </row>
    <row r="137" spans="1:10" x14ac:dyDescent="0.25">
      <c r="A137" s="1"/>
      <c r="B137" s="71" t="s">
        <v>138</v>
      </c>
      <c r="C137" s="15">
        <f>SUM(C130:C136)</f>
        <v>30000</v>
      </c>
      <c r="D137" s="15">
        <f>SUM(D130:D136)</f>
        <v>0</v>
      </c>
      <c r="E137" s="15">
        <f>SUM(E130:E135)</f>
        <v>0</v>
      </c>
      <c r="F137" s="15">
        <f>SUM(F130:F135)</f>
        <v>0</v>
      </c>
      <c r="G137" s="15">
        <f>SUM(G130:G135)</f>
        <v>0</v>
      </c>
      <c r="H137" s="1">
        <f>SUM(H130:H136)</f>
        <v>0</v>
      </c>
      <c r="I137" s="1">
        <f>SUM(I130:I136)</f>
        <v>0</v>
      </c>
      <c r="J137" s="15">
        <f>SUM(J130:J136)</f>
        <v>30000</v>
      </c>
    </row>
    <row r="142" spans="1:10" x14ac:dyDescent="0.25">
      <c r="A142" s="95"/>
      <c r="B142" s="12" t="s">
        <v>80</v>
      </c>
    </row>
    <row r="143" spans="1:10" x14ac:dyDescent="0.25">
      <c r="A143" s="95"/>
      <c r="B143" s="12" t="s">
        <v>64</v>
      </c>
    </row>
    <row r="144" spans="1:10" x14ac:dyDescent="0.25">
      <c r="A144" s="95"/>
      <c r="B144" s="12" t="s">
        <v>162</v>
      </c>
    </row>
    <row r="145" spans="1:10" x14ac:dyDescent="0.25">
      <c r="A145" s="95"/>
      <c r="B145" s="12" t="s">
        <v>403</v>
      </c>
    </row>
    <row r="146" spans="1:10" x14ac:dyDescent="0.25">
      <c r="A146" s="95"/>
      <c r="B146" s="12"/>
    </row>
    <row r="147" spans="1:10" x14ac:dyDescent="0.25">
      <c r="A147" s="3" t="s">
        <v>163</v>
      </c>
      <c r="B147" s="3" t="s">
        <v>164</v>
      </c>
      <c r="C147" s="59" t="s">
        <v>395</v>
      </c>
      <c r="D147" s="13">
        <v>43647</v>
      </c>
      <c r="E147" s="13">
        <v>43678</v>
      </c>
      <c r="F147" s="13">
        <v>43709</v>
      </c>
      <c r="G147" s="13">
        <v>43739</v>
      </c>
      <c r="H147" s="13">
        <v>43770</v>
      </c>
      <c r="I147" s="13">
        <v>43800</v>
      </c>
      <c r="J147" s="1" t="s">
        <v>81</v>
      </c>
    </row>
    <row r="148" spans="1:10" x14ac:dyDescent="0.25">
      <c r="A148" s="1">
        <v>1</v>
      </c>
      <c r="B148" s="1" t="s">
        <v>167</v>
      </c>
      <c r="C148" s="27">
        <v>1100000</v>
      </c>
      <c r="D148" s="27">
        <v>0</v>
      </c>
      <c r="E148" s="27">
        <v>0</v>
      </c>
      <c r="F148" s="27">
        <v>100000</v>
      </c>
      <c r="G148" s="27">
        <v>300000</v>
      </c>
      <c r="H148" s="38"/>
      <c r="I148" s="38"/>
      <c r="J148" s="72">
        <f>SUM(C148:I148)</f>
        <v>1500000</v>
      </c>
    </row>
    <row r="149" spans="1:10" x14ac:dyDescent="0.25">
      <c r="A149" s="1">
        <v>2</v>
      </c>
      <c r="B149" s="1" t="s">
        <v>168</v>
      </c>
      <c r="C149" s="27">
        <v>522000</v>
      </c>
      <c r="D149" s="27">
        <v>0</v>
      </c>
      <c r="E149" s="27">
        <v>0</v>
      </c>
      <c r="F149" s="27">
        <v>0</v>
      </c>
      <c r="G149" s="27"/>
      <c r="H149" s="38"/>
      <c r="I149" s="38"/>
      <c r="J149" s="72">
        <f t="shared" ref="J149:J195" si="9">SUM(C149:I149)</f>
        <v>522000</v>
      </c>
    </row>
    <row r="150" spans="1:10" x14ac:dyDescent="0.25">
      <c r="A150" s="1">
        <v>3</v>
      </c>
      <c r="B150" s="1" t="s">
        <v>169</v>
      </c>
      <c r="C150" s="27">
        <v>1235000</v>
      </c>
      <c r="D150" s="27">
        <v>0</v>
      </c>
      <c r="E150" s="27">
        <v>15000</v>
      </c>
      <c r="F150" s="27">
        <v>20000</v>
      </c>
      <c r="G150" s="27">
        <v>20000</v>
      </c>
      <c r="H150" s="38">
        <v>15000</v>
      </c>
      <c r="I150" s="38"/>
      <c r="J150" s="72">
        <f t="shared" si="9"/>
        <v>1305000</v>
      </c>
    </row>
    <row r="151" spans="1:10" x14ac:dyDescent="0.25">
      <c r="A151" s="1">
        <v>4</v>
      </c>
      <c r="B151" s="1" t="s">
        <v>170</v>
      </c>
      <c r="C151" s="27">
        <v>570000</v>
      </c>
      <c r="D151" s="27">
        <v>0</v>
      </c>
      <c r="E151" s="27">
        <v>0</v>
      </c>
      <c r="F151" s="27">
        <v>0</v>
      </c>
      <c r="G151" s="27"/>
      <c r="H151" s="38"/>
      <c r="I151" s="38"/>
      <c r="J151" s="72">
        <f t="shared" si="9"/>
        <v>570000</v>
      </c>
    </row>
    <row r="152" spans="1:10" x14ac:dyDescent="0.25">
      <c r="A152" s="1">
        <v>5</v>
      </c>
      <c r="B152" s="1" t="s">
        <v>171</v>
      </c>
      <c r="C152" s="27">
        <v>1243500</v>
      </c>
      <c r="D152" s="27">
        <v>57000</v>
      </c>
      <c r="E152" s="27">
        <v>62000</v>
      </c>
      <c r="F152" s="27">
        <v>40000</v>
      </c>
      <c r="G152" s="27">
        <v>20000</v>
      </c>
      <c r="H152" s="38">
        <v>20000</v>
      </c>
      <c r="I152" s="38">
        <v>10000</v>
      </c>
      <c r="J152" s="72">
        <f t="shared" si="9"/>
        <v>1452500</v>
      </c>
    </row>
    <row r="153" spans="1:10" x14ac:dyDescent="0.25">
      <c r="A153" s="1">
        <v>6</v>
      </c>
      <c r="B153" s="1" t="s">
        <v>174</v>
      </c>
      <c r="C153" s="27">
        <v>1180000</v>
      </c>
      <c r="D153" s="27">
        <v>0</v>
      </c>
      <c r="E153" s="27">
        <v>0</v>
      </c>
      <c r="F153" s="27">
        <v>0</v>
      </c>
      <c r="G153" s="27">
        <v>0</v>
      </c>
      <c r="H153" s="38">
        <v>0</v>
      </c>
      <c r="I153" s="38"/>
      <c r="J153" s="72">
        <f t="shared" si="9"/>
        <v>1180000</v>
      </c>
    </row>
    <row r="154" spans="1:10" x14ac:dyDescent="0.25">
      <c r="A154" s="1">
        <v>7</v>
      </c>
      <c r="B154" s="1" t="s">
        <v>172</v>
      </c>
      <c r="C154" s="27">
        <v>1200000</v>
      </c>
      <c r="D154" s="27">
        <v>0</v>
      </c>
      <c r="E154" s="27">
        <v>0</v>
      </c>
      <c r="F154" s="27">
        <v>0</v>
      </c>
      <c r="G154" s="27">
        <v>100000</v>
      </c>
      <c r="H154" s="38">
        <v>0</v>
      </c>
      <c r="I154" s="38"/>
      <c r="J154" s="72">
        <f t="shared" si="9"/>
        <v>1300000</v>
      </c>
    </row>
    <row r="155" spans="1:10" x14ac:dyDescent="0.25">
      <c r="A155" s="1">
        <v>8</v>
      </c>
      <c r="B155" s="1" t="s">
        <v>173</v>
      </c>
      <c r="C155" s="27">
        <v>900000</v>
      </c>
      <c r="D155" s="27">
        <v>0</v>
      </c>
      <c r="E155" s="27">
        <v>0</v>
      </c>
      <c r="F155" s="27">
        <v>100000</v>
      </c>
      <c r="G155" s="27">
        <v>0</v>
      </c>
      <c r="H155" s="38">
        <v>0</v>
      </c>
      <c r="I155" s="38">
        <v>200000</v>
      </c>
      <c r="J155" s="72">
        <f t="shared" si="9"/>
        <v>1200000</v>
      </c>
    </row>
    <row r="156" spans="1:10" x14ac:dyDescent="0.25">
      <c r="A156" s="114">
        <v>9</v>
      </c>
      <c r="B156" s="115" t="s">
        <v>176</v>
      </c>
      <c r="C156" s="116">
        <v>575000</v>
      </c>
      <c r="D156" s="116">
        <v>0</v>
      </c>
      <c r="E156" s="116">
        <v>25000</v>
      </c>
      <c r="F156" s="116">
        <v>0</v>
      </c>
      <c r="G156" s="116">
        <v>25000</v>
      </c>
      <c r="H156" s="115">
        <v>25000</v>
      </c>
      <c r="I156" s="115"/>
      <c r="J156" s="117">
        <f t="shared" si="9"/>
        <v>650000</v>
      </c>
    </row>
    <row r="157" spans="1:10" x14ac:dyDescent="0.25">
      <c r="A157" s="1">
        <v>10</v>
      </c>
      <c r="B157" s="1" t="s">
        <v>177</v>
      </c>
      <c r="C157" s="27">
        <v>530000</v>
      </c>
      <c r="D157" s="27">
        <v>0</v>
      </c>
      <c r="E157" s="27">
        <v>0</v>
      </c>
      <c r="F157" s="27">
        <v>0</v>
      </c>
      <c r="G157" s="27">
        <v>0</v>
      </c>
      <c r="H157" s="38">
        <v>0</v>
      </c>
      <c r="I157" s="38"/>
      <c r="J157" s="72">
        <f t="shared" si="9"/>
        <v>530000</v>
      </c>
    </row>
    <row r="158" spans="1:10" x14ac:dyDescent="0.25">
      <c r="A158" s="1">
        <v>11</v>
      </c>
      <c r="B158" s="1" t="s">
        <v>178</v>
      </c>
      <c r="C158" s="27">
        <v>1340000</v>
      </c>
      <c r="D158" s="27">
        <v>0</v>
      </c>
      <c r="E158" s="27">
        <v>30000</v>
      </c>
      <c r="F158" s="27">
        <v>0</v>
      </c>
      <c r="G158" s="27">
        <v>0</v>
      </c>
      <c r="H158" s="38">
        <v>0</v>
      </c>
      <c r="I158" s="38"/>
      <c r="J158" s="72">
        <f t="shared" si="9"/>
        <v>1370000</v>
      </c>
    </row>
    <row r="159" spans="1:10" x14ac:dyDescent="0.25">
      <c r="A159" s="1">
        <v>12</v>
      </c>
      <c r="B159" s="1" t="s">
        <v>179</v>
      </c>
      <c r="C159" s="27">
        <v>570000</v>
      </c>
      <c r="D159" s="27">
        <v>0</v>
      </c>
      <c r="E159" s="27">
        <v>0</v>
      </c>
      <c r="F159" s="27">
        <v>0</v>
      </c>
      <c r="G159" s="27">
        <v>0</v>
      </c>
      <c r="H159" s="38">
        <v>0</v>
      </c>
      <c r="I159" s="38">
        <v>0</v>
      </c>
      <c r="J159" s="72">
        <f t="shared" si="9"/>
        <v>570000</v>
      </c>
    </row>
    <row r="160" spans="1:10" x14ac:dyDescent="0.25">
      <c r="A160" s="1">
        <v>13</v>
      </c>
      <c r="B160" s="1" t="s">
        <v>180</v>
      </c>
      <c r="C160" s="27">
        <v>1280000</v>
      </c>
      <c r="D160" s="27">
        <v>0</v>
      </c>
      <c r="E160" s="27">
        <v>0</v>
      </c>
      <c r="F160" s="27">
        <v>50000</v>
      </c>
      <c r="G160" s="27">
        <v>100000</v>
      </c>
      <c r="H160" s="38">
        <v>0</v>
      </c>
      <c r="I160" s="38"/>
      <c r="J160" s="72">
        <f t="shared" si="9"/>
        <v>1430000</v>
      </c>
    </row>
    <row r="161" spans="1:10" x14ac:dyDescent="0.25">
      <c r="A161" s="1">
        <v>14</v>
      </c>
      <c r="B161" s="1" t="s">
        <v>181</v>
      </c>
      <c r="C161" s="27">
        <v>1830000</v>
      </c>
      <c r="D161" s="27">
        <v>100000</v>
      </c>
      <c r="E161" s="27">
        <v>33000</v>
      </c>
      <c r="F161" s="27">
        <v>40000</v>
      </c>
      <c r="G161" s="27">
        <v>90000</v>
      </c>
      <c r="H161" s="38">
        <v>20000</v>
      </c>
      <c r="I161" s="38">
        <v>25000</v>
      </c>
      <c r="J161" s="72">
        <f t="shared" si="9"/>
        <v>2138000</v>
      </c>
    </row>
    <row r="162" spans="1:10" x14ac:dyDescent="0.25">
      <c r="A162" s="1">
        <v>15</v>
      </c>
      <c r="B162" s="1" t="s">
        <v>182</v>
      </c>
      <c r="C162" s="27">
        <v>460000</v>
      </c>
      <c r="D162" s="27">
        <v>30000</v>
      </c>
      <c r="E162" s="27">
        <v>41000</v>
      </c>
      <c r="F162" s="27"/>
      <c r="G162" s="27"/>
      <c r="H162" s="38">
        <v>111000</v>
      </c>
      <c r="I162" s="38"/>
      <c r="J162" s="72">
        <f t="shared" si="9"/>
        <v>642000</v>
      </c>
    </row>
    <row r="163" spans="1:10" x14ac:dyDescent="0.25">
      <c r="A163" s="1">
        <v>16</v>
      </c>
      <c r="B163" s="1" t="s">
        <v>183</v>
      </c>
      <c r="C163" s="27">
        <v>565000</v>
      </c>
      <c r="D163" s="27">
        <v>0</v>
      </c>
      <c r="E163" s="27">
        <v>0</v>
      </c>
      <c r="F163" s="27">
        <v>0</v>
      </c>
      <c r="G163" s="27">
        <v>0</v>
      </c>
      <c r="H163" s="38">
        <v>0</v>
      </c>
      <c r="I163" s="38"/>
      <c r="J163" s="72">
        <f t="shared" si="9"/>
        <v>565000</v>
      </c>
    </row>
    <row r="164" spans="1:10" x14ac:dyDescent="0.25">
      <c r="A164" s="1">
        <v>17</v>
      </c>
      <c r="B164" s="1" t="s">
        <v>184</v>
      </c>
      <c r="C164" s="27">
        <v>1126400</v>
      </c>
      <c r="D164" s="27">
        <v>0</v>
      </c>
      <c r="E164" s="27">
        <v>0</v>
      </c>
      <c r="F164" s="27">
        <v>0</v>
      </c>
      <c r="G164" s="27">
        <v>0</v>
      </c>
      <c r="H164" s="38">
        <v>140000</v>
      </c>
      <c r="I164" s="38"/>
      <c r="J164" s="72">
        <f t="shared" si="9"/>
        <v>1266400</v>
      </c>
    </row>
    <row r="165" spans="1:10" x14ac:dyDescent="0.25">
      <c r="A165" s="1">
        <v>18</v>
      </c>
      <c r="B165" s="1" t="s">
        <v>185</v>
      </c>
      <c r="C165" s="27">
        <v>1400000</v>
      </c>
      <c r="D165" s="27">
        <v>0</v>
      </c>
      <c r="E165" s="27">
        <v>0</v>
      </c>
      <c r="F165" s="27">
        <v>100000</v>
      </c>
      <c r="G165" s="27">
        <v>0</v>
      </c>
      <c r="H165" s="38">
        <v>100000</v>
      </c>
      <c r="I165" s="38"/>
      <c r="J165" s="72">
        <f t="shared" si="9"/>
        <v>1600000</v>
      </c>
    </row>
    <row r="166" spans="1:10" x14ac:dyDescent="0.25">
      <c r="A166" s="1">
        <v>19</v>
      </c>
      <c r="B166" s="1" t="s">
        <v>186</v>
      </c>
      <c r="C166" s="27">
        <v>500000</v>
      </c>
      <c r="D166" s="27">
        <v>0</v>
      </c>
      <c r="E166" s="27">
        <v>0</v>
      </c>
      <c r="F166" s="27">
        <v>0</v>
      </c>
      <c r="G166" s="27">
        <v>0</v>
      </c>
      <c r="H166" s="38">
        <v>0</v>
      </c>
      <c r="I166" s="38">
        <v>0</v>
      </c>
      <c r="J166" s="72">
        <f t="shared" si="9"/>
        <v>500000</v>
      </c>
    </row>
    <row r="167" spans="1:10" x14ac:dyDescent="0.25">
      <c r="A167" s="1">
        <v>20</v>
      </c>
      <c r="B167" s="1" t="s">
        <v>187</v>
      </c>
      <c r="C167" s="27">
        <v>500000</v>
      </c>
      <c r="D167" s="27">
        <v>0</v>
      </c>
      <c r="E167" s="27">
        <v>0</v>
      </c>
      <c r="F167" s="27">
        <v>0</v>
      </c>
      <c r="G167" s="27">
        <v>0</v>
      </c>
      <c r="H167" s="38">
        <v>0</v>
      </c>
      <c r="I167" s="38">
        <v>0</v>
      </c>
      <c r="J167" s="72">
        <f t="shared" si="9"/>
        <v>500000</v>
      </c>
    </row>
    <row r="168" spans="1:10" x14ac:dyDescent="0.25">
      <c r="A168" s="115">
        <v>21</v>
      </c>
      <c r="B168" s="115" t="s">
        <v>188</v>
      </c>
      <c r="C168" s="116">
        <f>550000+50000-100000</f>
        <v>500000</v>
      </c>
      <c r="D168" s="116">
        <v>0</v>
      </c>
      <c r="E168" s="116">
        <v>0</v>
      </c>
      <c r="F168" s="116">
        <v>0</v>
      </c>
      <c r="G168" s="116">
        <v>0</v>
      </c>
      <c r="H168" s="115">
        <v>0</v>
      </c>
      <c r="I168" s="115">
        <v>0</v>
      </c>
      <c r="J168" s="117">
        <f t="shared" si="9"/>
        <v>500000</v>
      </c>
    </row>
    <row r="169" spans="1:10" x14ac:dyDescent="0.25">
      <c r="A169" s="1">
        <v>22</v>
      </c>
      <c r="B169" s="1" t="s">
        <v>189</v>
      </c>
      <c r="C169" s="27">
        <v>1645000</v>
      </c>
      <c r="D169" s="27">
        <v>0</v>
      </c>
      <c r="E169" s="27">
        <v>0</v>
      </c>
      <c r="F169" s="27"/>
      <c r="G169" s="27"/>
      <c r="H169" s="38">
        <v>0</v>
      </c>
      <c r="I169" s="38"/>
      <c r="J169" s="72">
        <f t="shared" si="9"/>
        <v>1645000</v>
      </c>
    </row>
    <row r="170" spans="1:10" x14ac:dyDescent="0.25">
      <c r="A170" s="1">
        <v>23</v>
      </c>
      <c r="B170" s="1" t="s">
        <v>190</v>
      </c>
      <c r="C170" s="27">
        <v>600000</v>
      </c>
      <c r="D170" s="27">
        <v>0</v>
      </c>
      <c r="E170" s="27">
        <v>0</v>
      </c>
      <c r="F170" s="27">
        <v>0</v>
      </c>
      <c r="G170" s="27">
        <v>0</v>
      </c>
      <c r="H170" s="38">
        <v>0</v>
      </c>
      <c r="I170" s="38">
        <v>0</v>
      </c>
      <c r="J170" s="72">
        <f t="shared" si="9"/>
        <v>600000</v>
      </c>
    </row>
    <row r="171" spans="1:10" x14ac:dyDescent="0.25">
      <c r="A171" s="1">
        <v>24</v>
      </c>
      <c r="B171" s="1" t="s">
        <v>191</v>
      </c>
      <c r="C171" s="27">
        <v>679000</v>
      </c>
      <c r="D171" s="27">
        <v>0</v>
      </c>
      <c r="E171" s="27">
        <v>0</v>
      </c>
      <c r="F171" s="27">
        <v>0</v>
      </c>
      <c r="G171" s="27">
        <v>0</v>
      </c>
      <c r="H171" s="38">
        <v>0</v>
      </c>
      <c r="I171" s="38">
        <v>0</v>
      </c>
      <c r="J171" s="72">
        <f t="shared" si="9"/>
        <v>679000</v>
      </c>
    </row>
    <row r="172" spans="1:10" x14ac:dyDescent="0.25">
      <c r="A172" s="115">
        <v>25</v>
      </c>
      <c r="B172" s="115" t="s">
        <v>192</v>
      </c>
      <c r="C172" s="116">
        <v>750000</v>
      </c>
      <c r="D172" s="116">
        <v>0</v>
      </c>
      <c r="E172" s="116">
        <v>0</v>
      </c>
      <c r="F172" s="116"/>
      <c r="G172" s="116">
        <v>0</v>
      </c>
      <c r="H172" s="115">
        <v>0</v>
      </c>
      <c r="I172" s="115">
        <v>100000</v>
      </c>
      <c r="J172" s="117">
        <f t="shared" si="9"/>
        <v>850000</v>
      </c>
    </row>
    <row r="173" spans="1:10" x14ac:dyDescent="0.25">
      <c r="A173" s="1">
        <v>26</v>
      </c>
      <c r="B173" s="1" t="s">
        <v>193</v>
      </c>
      <c r="C173" s="27">
        <v>2660000</v>
      </c>
      <c r="D173" s="27">
        <v>0</v>
      </c>
      <c r="E173" s="27">
        <v>0</v>
      </c>
      <c r="F173" s="27"/>
      <c r="G173" s="27">
        <v>0</v>
      </c>
      <c r="H173" s="38"/>
      <c r="I173" s="38"/>
      <c r="J173" s="72">
        <f t="shared" si="9"/>
        <v>2660000</v>
      </c>
    </row>
    <row r="174" spans="1:10" x14ac:dyDescent="0.25">
      <c r="A174" s="115">
        <v>27</v>
      </c>
      <c r="B174" s="115" t="s">
        <v>378</v>
      </c>
      <c r="C174" s="116">
        <v>2270000</v>
      </c>
      <c r="D174" s="116">
        <v>70000</v>
      </c>
      <c r="E174" s="116">
        <v>0</v>
      </c>
      <c r="F174" s="116">
        <v>50000</v>
      </c>
      <c r="G174" s="116">
        <v>50000</v>
      </c>
      <c r="H174" s="115">
        <v>0</v>
      </c>
      <c r="I174" s="115">
        <v>50000</v>
      </c>
      <c r="J174" s="117">
        <f t="shared" si="9"/>
        <v>2490000</v>
      </c>
    </row>
    <row r="175" spans="1:10" x14ac:dyDescent="0.25">
      <c r="A175" s="1">
        <v>28</v>
      </c>
      <c r="B175" s="1" t="s">
        <v>196</v>
      </c>
      <c r="C175" s="27">
        <v>120000</v>
      </c>
      <c r="D175" s="27">
        <v>0</v>
      </c>
      <c r="E175" s="27">
        <v>0</v>
      </c>
      <c r="F175" s="27">
        <v>0</v>
      </c>
      <c r="G175" s="27">
        <v>0</v>
      </c>
      <c r="H175" s="38">
        <v>0</v>
      </c>
      <c r="I175" s="38">
        <v>0</v>
      </c>
      <c r="J175" s="72">
        <f t="shared" si="9"/>
        <v>120000</v>
      </c>
    </row>
    <row r="176" spans="1:10" x14ac:dyDescent="0.25">
      <c r="A176" s="1">
        <v>29</v>
      </c>
      <c r="B176" s="1" t="s">
        <v>197</v>
      </c>
      <c r="C176" s="27">
        <v>1570000</v>
      </c>
      <c r="D176" s="27">
        <v>0</v>
      </c>
      <c r="E176" s="27">
        <v>0</v>
      </c>
      <c r="F176" s="27"/>
      <c r="G176" s="27">
        <v>0</v>
      </c>
      <c r="H176" s="38">
        <v>0</v>
      </c>
      <c r="I176" s="38">
        <v>0</v>
      </c>
      <c r="J176" s="72">
        <f t="shared" si="9"/>
        <v>1570000</v>
      </c>
    </row>
    <row r="177" spans="1:10" x14ac:dyDescent="0.25">
      <c r="A177" s="115">
        <v>30</v>
      </c>
      <c r="B177" s="115" t="s">
        <v>308</v>
      </c>
      <c r="C177" s="116">
        <v>555000</v>
      </c>
      <c r="D177" s="116">
        <v>0</v>
      </c>
      <c r="E177" s="116">
        <v>0</v>
      </c>
      <c r="F177" s="116">
        <v>0</v>
      </c>
      <c r="G177" s="116">
        <v>0</v>
      </c>
      <c r="H177" s="115">
        <v>0</v>
      </c>
      <c r="I177" s="115"/>
      <c r="J177" s="117">
        <f t="shared" si="9"/>
        <v>555000</v>
      </c>
    </row>
    <row r="178" spans="1:10" x14ac:dyDescent="0.25">
      <c r="A178" s="115">
        <v>31</v>
      </c>
      <c r="B178" s="115" t="s">
        <v>201</v>
      </c>
      <c r="C178" s="116">
        <v>900000</v>
      </c>
      <c r="D178" s="116">
        <v>0</v>
      </c>
      <c r="E178" s="116">
        <v>0</v>
      </c>
      <c r="F178" s="116">
        <v>0</v>
      </c>
      <c r="G178" s="116">
        <v>0</v>
      </c>
      <c r="H178" s="115">
        <v>0</v>
      </c>
      <c r="I178" s="115">
        <v>0</v>
      </c>
      <c r="J178" s="117">
        <f t="shared" si="9"/>
        <v>900000</v>
      </c>
    </row>
    <row r="179" spans="1:10" x14ac:dyDescent="0.25">
      <c r="A179" s="90">
        <v>32</v>
      </c>
      <c r="B179" s="1" t="s">
        <v>204</v>
      </c>
      <c r="C179" s="27">
        <v>1320058</v>
      </c>
      <c r="D179" s="27">
        <v>100000</v>
      </c>
      <c r="E179" s="27">
        <v>0</v>
      </c>
      <c r="F179" s="27">
        <v>0</v>
      </c>
      <c r="G179" s="27">
        <v>0</v>
      </c>
      <c r="H179" s="38">
        <v>0</v>
      </c>
      <c r="I179" s="38">
        <v>0</v>
      </c>
      <c r="J179" s="72">
        <f t="shared" si="9"/>
        <v>1420058</v>
      </c>
    </row>
    <row r="180" spans="1:10" x14ac:dyDescent="0.25">
      <c r="A180" s="38">
        <v>33</v>
      </c>
      <c r="B180" s="1" t="s">
        <v>205</v>
      </c>
      <c r="C180" s="27">
        <v>600000</v>
      </c>
      <c r="D180" s="27">
        <v>0</v>
      </c>
      <c r="E180" s="27">
        <v>0</v>
      </c>
      <c r="F180" s="27"/>
      <c r="G180" s="27">
        <v>0</v>
      </c>
      <c r="H180" s="1"/>
      <c r="I180" s="1"/>
      <c r="J180" s="70">
        <f t="shared" si="9"/>
        <v>600000</v>
      </c>
    </row>
    <row r="181" spans="1:10" x14ac:dyDescent="0.25">
      <c r="A181" s="38">
        <v>34</v>
      </c>
      <c r="B181" s="1" t="s">
        <v>208</v>
      </c>
      <c r="C181" s="14">
        <v>1420000</v>
      </c>
      <c r="D181" s="14">
        <v>0</v>
      </c>
      <c r="E181" s="14">
        <v>30000</v>
      </c>
      <c r="F181" s="14"/>
      <c r="G181" s="14">
        <v>25000</v>
      </c>
      <c r="H181" s="1">
        <v>0</v>
      </c>
      <c r="I181" s="1">
        <v>15000</v>
      </c>
      <c r="J181" s="70">
        <f t="shared" si="9"/>
        <v>1490000</v>
      </c>
    </row>
    <row r="182" spans="1:10" x14ac:dyDescent="0.25">
      <c r="A182" s="115">
        <v>35</v>
      </c>
      <c r="B182" s="115" t="s">
        <v>230</v>
      </c>
      <c r="C182" s="116">
        <f>600000-50000+100000</f>
        <v>650000</v>
      </c>
      <c r="D182" s="116">
        <v>0</v>
      </c>
      <c r="E182" s="116">
        <v>0</v>
      </c>
      <c r="F182" s="116">
        <v>0</v>
      </c>
      <c r="G182" s="116">
        <v>0</v>
      </c>
      <c r="H182" s="115">
        <v>0</v>
      </c>
      <c r="I182" s="115">
        <v>0</v>
      </c>
      <c r="J182" s="117">
        <f t="shared" si="9"/>
        <v>650000</v>
      </c>
    </row>
    <row r="183" spans="1:10" x14ac:dyDescent="0.25">
      <c r="A183" s="115">
        <v>36</v>
      </c>
      <c r="B183" s="115" t="s">
        <v>236</v>
      </c>
      <c r="C183" s="116">
        <v>1469000</v>
      </c>
      <c r="D183" s="116">
        <v>100000</v>
      </c>
      <c r="E183" s="116">
        <v>0</v>
      </c>
      <c r="F183" s="116">
        <v>0</v>
      </c>
      <c r="G183" s="116">
        <v>0</v>
      </c>
      <c r="H183" s="115">
        <v>0</v>
      </c>
      <c r="I183" s="115">
        <v>0</v>
      </c>
      <c r="J183" s="117">
        <f t="shared" si="9"/>
        <v>1569000</v>
      </c>
    </row>
    <row r="184" spans="1:10" x14ac:dyDescent="0.25">
      <c r="A184" s="38">
        <v>37</v>
      </c>
      <c r="B184" s="38" t="s">
        <v>285</v>
      </c>
      <c r="C184" s="14">
        <v>500000</v>
      </c>
      <c r="D184" s="14">
        <v>0</v>
      </c>
      <c r="E184" s="14">
        <v>0</v>
      </c>
      <c r="F184" s="14"/>
      <c r="G184" s="14">
        <v>0</v>
      </c>
      <c r="H184" s="1">
        <v>0</v>
      </c>
      <c r="I184" s="1"/>
      <c r="J184" s="70">
        <f t="shared" si="9"/>
        <v>500000</v>
      </c>
    </row>
    <row r="185" spans="1:10" x14ac:dyDescent="0.25">
      <c r="A185" s="115">
        <v>38</v>
      </c>
      <c r="B185" s="115" t="s">
        <v>286</v>
      </c>
      <c r="C185" s="116">
        <v>1350000</v>
      </c>
      <c r="D185" s="116">
        <v>0</v>
      </c>
      <c r="E185" s="116">
        <v>0</v>
      </c>
      <c r="F185" s="116">
        <v>0</v>
      </c>
      <c r="G185" s="116">
        <v>50000</v>
      </c>
      <c r="H185" s="115">
        <v>0</v>
      </c>
      <c r="I185" s="115"/>
      <c r="J185" s="117">
        <f t="shared" si="9"/>
        <v>1400000</v>
      </c>
    </row>
    <row r="186" spans="1:10" x14ac:dyDescent="0.25">
      <c r="A186" s="115">
        <v>39</v>
      </c>
      <c r="B186" s="115" t="s">
        <v>287</v>
      </c>
      <c r="C186" s="116">
        <f>120000-10000-10000</f>
        <v>100000</v>
      </c>
      <c r="D186" s="116">
        <v>0</v>
      </c>
      <c r="E186" s="116">
        <v>0</v>
      </c>
      <c r="F186" s="116"/>
      <c r="G186" s="116">
        <v>0</v>
      </c>
      <c r="H186" s="115">
        <v>0</v>
      </c>
      <c r="I186" s="115"/>
      <c r="J186" s="117">
        <f t="shared" si="9"/>
        <v>100000</v>
      </c>
    </row>
    <row r="187" spans="1:10" x14ac:dyDescent="0.25">
      <c r="A187" s="38">
        <v>40</v>
      </c>
      <c r="B187" s="1" t="s">
        <v>288</v>
      </c>
      <c r="C187" s="14">
        <v>493000</v>
      </c>
      <c r="D187" s="14">
        <v>20000</v>
      </c>
      <c r="E187" s="14">
        <v>0</v>
      </c>
      <c r="F187" s="14">
        <v>11000</v>
      </c>
      <c r="G187" s="14">
        <v>0</v>
      </c>
      <c r="H187" s="1">
        <v>25000</v>
      </c>
      <c r="I187" s="1"/>
      <c r="J187" s="70">
        <f t="shared" si="9"/>
        <v>549000</v>
      </c>
    </row>
    <row r="188" spans="1:10" x14ac:dyDescent="0.25">
      <c r="A188" s="38">
        <v>41</v>
      </c>
      <c r="B188" s="92" t="s">
        <v>289</v>
      </c>
      <c r="C188" s="93">
        <v>580000</v>
      </c>
      <c r="D188" s="93">
        <v>0</v>
      </c>
      <c r="E188" s="93">
        <v>250000</v>
      </c>
      <c r="F188" s="93">
        <v>100000</v>
      </c>
      <c r="G188" s="93">
        <v>150000</v>
      </c>
      <c r="H188" s="1">
        <v>70000</v>
      </c>
      <c r="I188" s="1">
        <v>100000</v>
      </c>
      <c r="J188" s="70">
        <f t="shared" si="9"/>
        <v>1250000</v>
      </c>
    </row>
    <row r="189" spans="1:10" x14ac:dyDescent="0.25">
      <c r="A189" s="38">
        <v>42</v>
      </c>
      <c r="B189" s="1" t="s">
        <v>315</v>
      </c>
      <c r="C189" s="14">
        <v>2400000</v>
      </c>
      <c r="D189" s="1">
        <v>50000</v>
      </c>
      <c r="E189" s="14">
        <v>30000</v>
      </c>
      <c r="F189" s="14">
        <v>40000</v>
      </c>
      <c r="G189" s="14">
        <v>0</v>
      </c>
      <c r="H189" s="1">
        <v>0</v>
      </c>
      <c r="I189" s="1"/>
      <c r="J189" s="70">
        <f t="shared" si="9"/>
        <v>2520000</v>
      </c>
    </row>
    <row r="190" spans="1:10" x14ac:dyDescent="0.25">
      <c r="A190" s="75">
        <v>43</v>
      </c>
      <c r="B190" s="1" t="s">
        <v>316</v>
      </c>
      <c r="C190" s="14">
        <v>2600000</v>
      </c>
      <c r="D190" s="1">
        <v>0</v>
      </c>
      <c r="E190" s="14">
        <v>0</v>
      </c>
      <c r="F190" s="14"/>
      <c r="G190" s="14">
        <v>0</v>
      </c>
      <c r="H190" s="1">
        <v>0</v>
      </c>
      <c r="I190" s="1"/>
      <c r="J190" s="70">
        <f t="shared" si="9"/>
        <v>2600000</v>
      </c>
    </row>
    <row r="191" spans="1:10" x14ac:dyDescent="0.25">
      <c r="A191" s="90">
        <v>44</v>
      </c>
      <c r="B191" s="1" t="s">
        <v>338</v>
      </c>
      <c r="C191" s="14">
        <v>2300000</v>
      </c>
      <c r="D191" s="1">
        <v>0</v>
      </c>
      <c r="E191" s="1">
        <v>0</v>
      </c>
      <c r="F191" s="14"/>
      <c r="G191" s="14">
        <v>0</v>
      </c>
      <c r="H191" s="1">
        <v>0</v>
      </c>
      <c r="I191" s="1"/>
      <c r="J191" s="70">
        <f t="shared" si="9"/>
        <v>2300000</v>
      </c>
    </row>
    <row r="192" spans="1:10" x14ac:dyDescent="0.25">
      <c r="A192" s="38">
        <v>45</v>
      </c>
      <c r="B192" s="115" t="s">
        <v>383</v>
      </c>
      <c r="C192" s="14">
        <v>200000</v>
      </c>
      <c r="D192" s="1">
        <v>100000</v>
      </c>
      <c r="E192" s="14">
        <v>0</v>
      </c>
      <c r="F192" s="14">
        <v>100000</v>
      </c>
      <c r="G192" s="14">
        <v>100000</v>
      </c>
      <c r="H192" s="1">
        <v>0</v>
      </c>
      <c r="I192" s="1">
        <v>50000</v>
      </c>
      <c r="J192" s="14">
        <f t="shared" si="9"/>
        <v>550000</v>
      </c>
    </row>
    <row r="193" spans="1:10" x14ac:dyDescent="0.25">
      <c r="A193" s="38">
        <v>46</v>
      </c>
      <c r="B193" s="1" t="s">
        <v>384</v>
      </c>
      <c r="C193" s="14">
        <v>510000</v>
      </c>
      <c r="D193" s="1">
        <v>200000</v>
      </c>
      <c r="E193" s="14">
        <v>100000</v>
      </c>
      <c r="F193" s="14">
        <v>0</v>
      </c>
      <c r="G193" s="1"/>
      <c r="H193" s="1">
        <v>0</v>
      </c>
      <c r="I193" s="1"/>
      <c r="J193" s="14">
        <f t="shared" si="9"/>
        <v>810000</v>
      </c>
    </row>
    <row r="194" spans="1:10" x14ac:dyDescent="0.25">
      <c r="A194" s="38">
        <v>47</v>
      </c>
      <c r="B194" s="1" t="s">
        <v>399</v>
      </c>
      <c r="C194" s="14">
        <v>0</v>
      </c>
      <c r="D194" s="1">
        <v>0</v>
      </c>
      <c r="E194" s="1">
        <v>0</v>
      </c>
      <c r="F194" s="14">
        <v>500000</v>
      </c>
      <c r="G194" s="14">
        <v>1000000</v>
      </c>
      <c r="H194" s="1"/>
      <c r="I194" s="1"/>
      <c r="J194" s="14">
        <f t="shared" si="9"/>
        <v>1500000</v>
      </c>
    </row>
    <row r="195" spans="1:10" x14ac:dyDescent="0.25">
      <c r="A195" s="38">
        <v>48</v>
      </c>
      <c r="B195" s="1" t="s">
        <v>401</v>
      </c>
      <c r="C195" s="14">
        <v>0</v>
      </c>
      <c r="D195" s="1">
        <v>0</v>
      </c>
      <c r="E195" s="1">
        <v>0</v>
      </c>
      <c r="F195" s="1">
        <v>0</v>
      </c>
      <c r="G195" s="14">
        <v>0</v>
      </c>
      <c r="H195" s="1">
        <v>0</v>
      </c>
      <c r="I195" s="1">
        <v>650000</v>
      </c>
      <c r="J195" s="70">
        <f t="shared" si="9"/>
        <v>650000</v>
      </c>
    </row>
    <row r="196" spans="1:10" x14ac:dyDescent="0.25">
      <c r="A196" s="38"/>
      <c r="B196" s="1"/>
      <c r="C196" s="1"/>
      <c r="D196" s="1"/>
      <c r="E196" s="1"/>
      <c r="F196" s="1"/>
      <c r="G196" s="1"/>
      <c r="H196" s="1"/>
      <c r="I196" s="1"/>
      <c r="J196" s="1"/>
    </row>
    <row r="197" spans="1:10" x14ac:dyDescent="0.25">
      <c r="A197" s="38"/>
      <c r="B197" s="1"/>
      <c r="C197" s="1"/>
      <c r="D197" s="1"/>
      <c r="E197" s="1"/>
      <c r="F197" s="1"/>
      <c r="G197" s="1"/>
      <c r="H197" s="1"/>
      <c r="I197" s="1"/>
      <c r="J197" s="1"/>
    </row>
    <row r="198" spans="1:10" x14ac:dyDescent="0.25">
      <c r="A198" s="1"/>
      <c r="B198" s="58" t="s">
        <v>138</v>
      </c>
      <c r="C198" s="15">
        <f>SUM(C148:C195)</f>
        <v>47367958</v>
      </c>
      <c r="D198" s="15">
        <f>SUM(D148:D195)</f>
        <v>827000</v>
      </c>
      <c r="E198" s="15">
        <f>SUM(E148:E195)</f>
        <v>616000</v>
      </c>
      <c r="F198" s="15">
        <f>SUM(F148:F195)</f>
        <v>1251000</v>
      </c>
      <c r="G198" s="15">
        <f>SUM(G148:G195)</f>
        <v>2030000</v>
      </c>
      <c r="H198" s="15">
        <f>SUM(H149:H195)</f>
        <v>526000</v>
      </c>
      <c r="I198" s="15">
        <f>SUM(I148:I195)</f>
        <v>1200000</v>
      </c>
      <c r="J198" s="15">
        <f>SUM(C198:I198)</f>
        <v>53817958</v>
      </c>
    </row>
    <row r="206" spans="1:10" x14ac:dyDescent="0.25">
      <c r="E206" s="26"/>
    </row>
    <row r="208" spans="1:10" x14ac:dyDescent="0.25">
      <c r="J208" s="26"/>
    </row>
    <row r="214" spans="1:3" ht="18.75" x14ac:dyDescent="0.3">
      <c r="B214" s="5" t="s">
        <v>80</v>
      </c>
    </row>
    <row r="215" spans="1:3" ht="18.75" x14ac:dyDescent="0.3">
      <c r="B215" s="5" t="s">
        <v>64</v>
      </c>
    </row>
    <row r="216" spans="1:3" ht="18.75" x14ac:dyDescent="0.3">
      <c r="B216" s="5" t="s">
        <v>243</v>
      </c>
    </row>
    <row r="217" spans="1:3" ht="18.75" x14ac:dyDescent="0.3">
      <c r="B217" s="5" t="s">
        <v>402</v>
      </c>
    </row>
    <row r="219" spans="1:3" x14ac:dyDescent="0.25">
      <c r="A219" s="3" t="s">
        <v>244</v>
      </c>
      <c r="B219" s="3" t="s">
        <v>245</v>
      </c>
      <c r="C219" s="120" t="s">
        <v>249</v>
      </c>
    </row>
    <row r="220" spans="1:3" x14ac:dyDescent="0.25">
      <c r="A220" s="1">
        <v>1</v>
      </c>
      <c r="B220" s="66" t="s">
        <v>22</v>
      </c>
      <c r="C220" s="97">
        <v>19400000</v>
      </c>
    </row>
    <row r="221" spans="1:3" x14ac:dyDescent="0.25">
      <c r="A221" s="1">
        <v>2</v>
      </c>
      <c r="B221" s="66" t="s">
        <v>246</v>
      </c>
      <c r="C221" s="97">
        <v>53817958</v>
      </c>
    </row>
    <row r="222" spans="1:3" x14ac:dyDescent="0.25">
      <c r="A222" s="1">
        <v>3</v>
      </c>
      <c r="B222" s="66" t="s">
        <v>396</v>
      </c>
      <c r="C222" s="98">
        <v>0</v>
      </c>
    </row>
    <row r="223" spans="1:3" x14ac:dyDescent="0.25">
      <c r="A223" s="1"/>
      <c r="B223" s="66" t="s">
        <v>397</v>
      </c>
      <c r="C223" s="98">
        <v>30000</v>
      </c>
    </row>
    <row r="224" spans="1:3" x14ac:dyDescent="0.25">
      <c r="A224" s="1"/>
      <c r="B224" s="66" t="s">
        <v>398</v>
      </c>
      <c r="C224" s="98">
        <v>596500</v>
      </c>
    </row>
    <row r="225" spans="1:5" x14ac:dyDescent="0.25">
      <c r="A225" s="1">
        <v>4</v>
      </c>
      <c r="B225" s="1" t="s">
        <v>255</v>
      </c>
      <c r="C225" s="88">
        <v>604757</v>
      </c>
    </row>
    <row r="226" spans="1:5" x14ac:dyDescent="0.25">
      <c r="A226" s="1">
        <v>5</v>
      </c>
      <c r="B226" s="1" t="s">
        <v>387</v>
      </c>
      <c r="C226" s="88">
        <v>4550</v>
      </c>
    </row>
    <row r="227" spans="1:5" ht="18.75" x14ac:dyDescent="0.3">
      <c r="A227" s="1"/>
      <c r="B227" s="73" t="s">
        <v>248</v>
      </c>
      <c r="C227" s="89">
        <f>SUM(C220:C226)</f>
        <v>74453765</v>
      </c>
      <c r="D227" s="12"/>
      <c r="E227" s="118"/>
    </row>
    <row r="228" spans="1:5" ht="18.75" x14ac:dyDescent="0.3">
      <c r="B228" s="5"/>
      <c r="C228" s="26"/>
    </row>
    <row r="229" spans="1:5" ht="18.75" x14ac:dyDescent="0.3">
      <c r="A229" s="3" t="s">
        <v>250</v>
      </c>
      <c r="B229" s="73" t="s">
        <v>251</v>
      </c>
      <c r="C229" s="120" t="s">
        <v>249</v>
      </c>
    </row>
    <row r="230" spans="1:5" x14ac:dyDescent="0.25">
      <c r="A230" s="1">
        <v>1</v>
      </c>
      <c r="B230" s="66" t="s">
        <v>252</v>
      </c>
      <c r="C230" s="87">
        <v>20000000</v>
      </c>
    </row>
    <row r="231" spans="1:5" x14ac:dyDescent="0.25">
      <c r="A231" s="1">
        <v>2</v>
      </c>
      <c r="B231" s="66" t="s">
        <v>253</v>
      </c>
      <c r="C231" s="88">
        <v>50576514</v>
      </c>
    </row>
    <row r="232" spans="1:5" x14ac:dyDescent="0.25">
      <c r="A232" s="1">
        <v>3</v>
      </c>
      <c r="B232" s="66" t="s">
        <v>254</v>
      </c>
      <c r="C232" s="88">
        <v>578299</v>
      </c>
    </row>
    <row r="233" spans="1:5" x14ac:dyDescent="0.25">
      <c r="A233" s="1">
        <v>4</v>
      </c>
      <c r="B233" s="1" t="s">
        <v>296</v>
      </c>
      <c r="C233" s="88">
        <v>2350000</v>
      </c>
    </row>
    <row r="234" spans="1:5" x14ac:dyDescent="0.25">
      <c r="A234" s="1">
        <v>5</v>
      </c>
      <c r="B234" s="1" t="s">
        <v>400</v>
      </c>
      <c r="C234" s="88">
        <v>0</v>
      </c>
    </row>
    <row r="235" spans="1:5" x14ac:dyDescent="0.25">
      <c r="A235" s="1"/>
      <c r="B235" s="1" t="s">
        <v>310</v>
      </c>
      <c r="C235" s="88">
        <v>0</v>
      </c>
    </row>
    <row r="236" spans="1:5" x14ac:dyDescent="0.25">
      <c r="A236" s="1"/>
      <c r="B236" s="1" t="s">
        <v>297</v>
      </c>
      <c r="C236" s="88">
        <v>948952</v>
      </c>
    </row>
    <row r="237" spans="1:5" ht="18.75" x14ac:dyDescent="0.3">
      <c r="A237" s="1"/>
      <c r="B237" s="73" t="s">
        <v>248</v>
      </c>
      <c r="C237" s="89">
        <f>SUM(C230:C236)</f>
        <v>74453765</v>
      </c>
    </row>
    <row r="239" spans="1:5" ht="15.75" thickBot="1" x14ac:dyDescent="0.3"/>
    <row r="240" spans="1:5" x14ac:dyDescent="0.25">
      <c r="B240" s="31" t="s">
        <v>343</v>
      </c>
      <c r="C240" s="102"/>
      <c r="D240" s="102"/>
      <c r="E240" s="108">
        <v>20000000</v>
      </c>
    </row>
    <row r="241" spans="1:9" x14ac:dyDescent="0.25">
      <c r="B241" s="103" t="s">
        <v>341</v>
      </c>
      <c r="C241" s="22"/>
      <c r="D241" s="22"/>
      <c r="E241" s="109">
        <v>500000</v>
      </c>
    </row>
    <row r="242" spans="1:9" ht="15.75" thickBot="1" x14ac:dyDescent="0.3">
      <c r="B242" s="106" t="s">
        <v>342</v>
      </c>
      <c r="C242" s="107"/>
      <c r="D242" s="107"/>
      <c r="E242" s="110">
        <v>100000</v>
      </c>
      <c r="I242" s="101"/>
    </row>
    <row r="243" spans="1:9" ht="15.75" thickBot="1" x14ac:dyDescent="0.3">
      <c r="A243" s="22"/>
      <c r="B243" s="104" t="s">
        <v>344</v>
      </c>
      <c r="C243" s="105"/>
      <c r="D243" s="105"/>
      <c r="E243" s="111">
        <v>19400000</v>
      </c>
    </row>
    <row r="251" spans="1:9" ht="18.75" x14ac:dyDescent="0.3">
      <c r="B251" s="5" t="s">
        <v>80</v>
      </c>
    </row>
    <row r="252" spans="1:9" ht="18.75" x14ac:dyDescent="0.3">
      <c r="B252" s="5" t="s">
        <v>64</v>
      </c>
    </row>
    <row r="253" spans="1:9" x14ac:dyDescent="0.25">
      <c r="B253" t="s">
        <v>402</v>
      </c>
    </row>
    <row r="254" spans="1:9" ht="15.75" x14ac:dyDescent="0.25">
      <c r="A254" s="9" t="s">
        <v>156</v>
      </c>
      <c r="B254" s="8" t="s">
        <v>139</v>
      </c>
      <c r="C254" s="9" t="s">
        <v>140</v>
      </c>
      <c r="D254" s="9" t="s">
        <v>152</v>
      </c>
      <c r="E254" s="9" t="s">
        <v>141</v>
      </c>
      <c r="F254" s="66" t="s">
        <v>142</v>
      </c>
      <c r="G254" s="119"/>
    </row>
    <row r="255" spans="1:9" ht="15.75" x14ac:dyDescent="0.25">
      <c r="A255" s="9"/>
      <c r="B255" s="8" t="s">
        <v>363</v>
      </c>
      <c r="C255" s="56">
        <v>117038</v>
      </c>
      <c r="D255" s="56">
        <v>291403</v>
      </c>
      <c r="E255" s="56">
        <v>13460</v>
      </c>
      <c r="F255" s="56">
        <v>58026</v>
      </c>
    </row>
    <row r="256" spans="1:9" ht="15.75" x14ac:dyDescent="0.25">
      <c r="A256" s="9">
        <v>1</v>
      </c>
      <c r="B256" s="9" t="s">
        <v>364</v>
      </c>
      <c r="C256" s="56">
        <v>0</v>
      </c>
      <c r="D256" s="56">
        <v>0</v>
      </c>
      <c r="E256" s="56">
        <v>0</v>
      </c>
      <c r="F256" s="56">
        <v>10</v>
      </c>
    </row>
    <row r="257" spans="1:6" ht="15.75" x14ac:dyDescent="0.25">
      <c r="A257" s="9">
        <v>2</v>
      </c>
      <c r="B257" s="9" t="s">
        <v>365</v>
      </c>
      <c r="C257" s="56">
        <v>0</v>
      </c>
      <c r="D257" s="56">
        <v>0</v>
      </c>
      <c r="E257" s="56">
        <v>0</v>
      </c>
      <c r="F257" s="56">
        <v>10</v>
      </c>
    </row>
    <row r="258" spans="1:6" ht="15.75" x14ac:dyDescent="0.25">
      <c r="A258" s="9">
        <v>3</v>
      </c>
      <c r="B258" s="9" t="s">
        <v>366</v>
      </c>
      <c r="C258" s="56">
        <v>0</v>
      </c>
      <c r="D258" s="56">
        <v>64721</v>
      </c>
      <c r="E258" s="56">
        <v>6500</v>
      </c>
      <c r="F258" s="56">
        <v>173</v>
      </c>
    </row>
    <row r="259" spans="1:6" ht="15.75" x14ac:dyDescent="0.25">
      <c r="A259" s="9">
        <v>4</v>
      </c>
      <c r="B259" s="9" t="s">
        <v>367</v>
      </c>
      <c r="C259" s="56">
        <v>0</v>
      </c>
      <c r="D259" s="56">
        <v>145043</v>
      </c>
      <c r="E259" s="56">
        <v>0</v>
      </c>
      <c r="F259" s="56">
        <v>18761</v>
      </c>
    </row>
    <row r="260" spans="1:6" ht="15.75" x14ac:dyDescent="0.25">
      <c r="A260" s="9">
        <v>5</v>
      </c>
      <c r="B260" s="9" t="s">
        <v>368</v>
      </c>
      <c r="C260" s="56">
        <v>0</v>
      </c>
      <c r="D260" s="56">
        <v>0</v>
      </c>
      <c r="E260" s="56">
        <v>0</v>
      </c>
      <c r="F260" s="56">
        <v>10</v>
      </c>
    </row>
    <row r="261" spans="1:6" ht="15.75" x14ac:dyDescent="0.25">
      <c r="A261" s="8">
        <v>6</v>
      </c>
      <c r="B261" s="8" t="s">
        <v>369</v>
      </c>
      <c r="C261" s="57">
        <v>9341</v>
      </c>
      <c r="D261" s="1">
        <v>38203.21</v>
      </c>
      <c r="E261" s="1">
        <v>0</v>
      </c>
      <c r="F261" s="1">
        <v>1509.1</v>
      </c>
    </row>
    <row r="262" spans="1:6" ht="15.75" x14ac:dyDescent="0.25">
      <c r="A262" s="9">
        <v>7</v>
      </c>
      <c r="B262" s="9" t="s">
        <v>370</v>
      </c>
      <c r="C262" s="56">
        <v>0</v>
      </c>
      <c r="D262" s="56">
        <v>0</v>
      </c>
      <c r="E262" s="56">
        <v>0</v>
      </c>
      <c r="F262" s="56">
        <v>0</v>
      </c>
    </row>
    <row r="263" spans="1:6" ht="15.75" x14ac:dyDescent="0.25">
      <c r="A263" s="9">
        <v>8</v>
      </c>
      <c r="B263" s="9" t="s">
        <v>371</v>
      </c>
      <c r="C263" s="56">
        <v>0</v>
      </c>
      <c r="D263" s="56">
        <v>0</v>
      </c>
      <c r="E263" s="56">
        <v>0</v>
      </c>
      <c r="F263" s="56">
        <v>10</v>
      </c>
    </row>
    <row r="264" spans="1:6" ht="15.75" x14ac:dyDescent="0.25">
      <c r="A264" s="9">
        <v>9</v>
      </c>
      <c r="B264" s="9" t="s">
        <v>372</v>
      </c>
      <c r="C264" s="56">
        <v>0</v>
      </c>
      <c r="D264" s="56">
        <v>0</v>
      </c>
      <c r="E264" s="56">
        <v>0</v>
      </c>
      <c r="F264" s="56">
        <v>243</v>
      </c>
    </row>
    <row r="265" spans="1:6" ht="15.75" x14ac:dyDescent="0.25">
      <c r="A265" s="9">
        <v>10</v>
      </c>
      <c r="B265" s="9" t="s">
        <v>373</v>
      </c>
      <c r="C265" s="56">
        <v>0</v>
      </c>
      <c r="D265" s="56">
        <v>0</v>
      </c>
      <c r="E265" s="56">
        <v>0</v>
      </c>
      <c r="F265" s="56">
        <v>6179</v>
      </c>
    </row>
    <row r="266" spans="1:6" ht="15.75" x14ac:dyDescent="0.25">
      <c r="A266" s="9">
        <v>11</v>
      </c>
      <c r="B266" s="9" t="s">
        <v>374</v>
      </c>
      <c r="C266" s="56">
        <v>0</v>
      </c>
      <c r="D266" s="56">
        <v>0</v>
      </c>
      <c r="E266" s="56">
        <v>0</v>
      </c>
      <c r="F266" s="56">
        <v>0</v>
      </c>
    </row>
    <row r="267" spans="1:6" ht="15.75" x14ac:dyDescent="0.25">
      <c r="A267" s="9">
        <v>12</v>
      </c>
      <c r="B267" s="66" t="s">
        <v>375</v>
      </c>
      <c r="C267" s="56">
        <v>7593</v>
      </c>
      <c r="D267" s="56">
        <v>0</v>
      </c>
      <c r="E267" s="56">
        <v>0</v>
      </c>
      <c r="F267" s="56">
        <v>3614.3</v>
      </c>
    </row>
    <row r="268" spans="1:6" ht="15.75" x14ac:dyDescent="0.25">
      <c r="A268" s="9"/>
      <c r="B268" s="55" t="s">
        <v>138</v>
      </c>
      <c r="C268" s="57">
        <f>SUM(C255:C267)</f>
        <v>133972</v>
      </c>
      <c r="D268" s="57">
        <f>SUM(D255:D267)</f>
        <v>539370.21</v>
      </c>
      <c r="E268" s="57">
        <f>SUM(E255:E267)</f>
        <v>19960</v>
      </c>
      <c r="F268" s="57">
        <f>SUM(F255:F267)</f>
        <v>88545.400000000009</v>
      </c>
    </row>
    <row r="269" spans="1:6" ht="15.75" thickBot="1" x14ac:dyDescent="0.3"/>
    <row r="270" spans="1:6" ht="16.5" thickBot="1" x14ac:dyDescent="0.3">
      <c r="D270" s="12" t="s">
        <v>203</v>
      </c>
      <c r="E270" s="12"/>
      <c r="F270" s="65">
        <f>SUM(C268+D268+E268)-(F268)</f>
        <v>604756.80999999994</v>
      </c>
    </row>
    <row r="282" spans="1:10" ht="18.75" x14ac:dyDescent="0.3">
      <c r="B282" s="5" t="s">
        <v>80</v>
      </c>
    </row>
    <row r="283" spans="1:10" ht="18.75" x14ac:dyDescent="0.3">
      <c r="B283" s="5" t="s">
        <v>64</v>
      </c>
    </row>
    <row r="284" spans="1:10" x14ac:dyDescent="0.25">
      <c r="B284" t="s">
        <v>385</v>
      </c>
    </row>
    <row r="285" spans="1:10" x14ac:dyDescent="0.25">
      <c r="A285" s="3" t="s">
        <v>163</v>
      </c>
      <c r="B285" s="3" t="s">
        <v>164</v>
      </c>
      <c r="C285" s="59" t="s">
        <v>394</v>
      </c>
      <c r="D285" s="13">
        <v>43647</v>
      </c>
      <c r="E285" s="13">
        <v>43678</v>
      </c>
      <c r="F285" s="13">
        <v>43709</v>
      </c>
      <c r="G285" s="13">
        <v>43739</v>
      </c>
      <c r="H285" s="13">
        <v>43770</v>
      </c>
      <c r="I285" s="13">
        <v>43800</v>
      </c>
      <c r="J285" s="1" t="s">
        <v>81</v>
      </c>
    </row>
    <row r="286" spans="1:10" x14ac:dyDescent="0.25">
      <c r="A286" s="1">
        <v>1</v>
      </c>
      <c r="B286" s="1" t="s">
        <v>386</v>
      </c>
      <c r="C286" s="27">
        <v>0</v>
      </c>
      <c r="D286" s="27">
        <v>0</v>
      </c>
      <c r="E286" s="27">
        <v>0</v>
      </c>
      <c r="F286" s="27">
        <v>2080</v>
      </c>
      <c r="G286" s="27">
        <v>2470</v>
      </c>
      <c r="H286" s="38"/>
      <c r="I286" s="38"/>
      <c r="J286" s="72">
        <f>SUM(C286:I286)</f>
        <v>4550</v>
      </c>
    </row>
    <row r="287" spans="1:10" x14ac:dyDescent="0.25">
      <c r="A287" s="1">
        <v>2</v>
      </c>
      <c r="B287" s="1"/>
      <c r="C287" s="27">
        <v>0</v>
      </c>
      <c r="D287" s="27">
        <v>0</v>
      </c>
      <c r="E287" s="27">
        <v>0</v>
      </c>
      <c r="F287" s="27"/>
      <c r="G287" s="27"/>
      <c r="H287" s="38"/>
      <c r="I287" s="38"/>
      <c r="J287" s="72">
        <f t="shared" ref="J287:J288" si="10">SUM(C287:I287)</f>
        <v>0</v>
      </c>
    </row>
    <row r="288" spans="1:10" x14ac:dyDescent="0.25">
      <c r="A288" s="1">
        <v>3</v>
      </c>
      <c r="B288" s="1"/>
      <c r="C288" s="27">
        <v>0</v>
      </c>
      <c r="D288" s="27">
        <v>0</v>
      </c>
      <c r="E288" s="27">
        <v>0</v>
      </c>
      <c r="F288" s="27">
        <v>0</v>
      </c>
      <c r="G288" s="27"/>
      <c r="H288" s="38"/>
      <c r="I288" s="38"/>
      <c r="J288" s="72">
        <f t="shared" si="10"/>
        <v>0</v>
      </c>
    </row>
  </sheetData>
  <pageMargins left="0.7" right="0.7" top="0.75" bottom="0.75" header="0.3" footer="0.3"/>
  <pageSetup scale="9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7"/>
  <sheetViews>
    <sheetView workbookViewId="0">
      <selection sqref="A1:XFD1048576"/>
    </sheetView>
  </sheetViews>
  <sheetFormatPr defaultRowHeight="15" x14ac:dyDescent="0.25"/>
  <cols>
    <col min="1" max="1" width="4.28515625" customWidth="1"/>
    <col min="2" max="2" width="32.140625" customWidth="1"/>
    <col min="3" max="3" width="14" customWidth="1"/>
    <col min="4" max="4" width="10.42578125" customWidth="1"/>
    <col min="5" max="5" width="11.42578125" customWidth="1"/>
    <col min="6" max="6" width="10.28515625" customWidth="1"/>
    <col min="7" max="7" width="10.5703125" customWidth="1"/>
    <col min="8" max="8" width="11.28515625" customWidth="1"/>
    <col min="9" max="9" width="10.28515625" customWidth="1"/>
    <col min="10" max="10" width="12.7109375" customWidth="1"/>
  </cols>
  <sheetData>
    <row r="1" spans="1:10" ht="13.5" customHeight="1" x14ac:dyDescent="0.25">
      <c r="A1" s="94"/>
      <c r="B1" s="54" t="s">
        <v>80</v>
      </c>
      <c r="C1" s="54"/>
      <c r="D1" s="54"/>
      <c r="E1" s="94"/>
      <c r="F1" s="94"/>
      <c r="G1" s="94"/>
      <c r="H1" s="94"/>
      <c r="I1" s="94"/>
      <c r="J1" s="94"/>
    </row>
    <row r="2" spans="1:10" ht="12.75" customHeight="1" x14ac:dyDescent="0.25">
      <c r="A2" s="94"/>
      <c r="B2" s="54" t="s">
        <v>64</v>
      </c>
      <c r="C2" s="54"/>
      <c r="D2" s="54"/>
      <c r="E2" s="94"/>
      <c r="F2" s="94"/>
      <c r="G2" s="94"/>
      <c r="H2" s="94"/>
      <c r="I2" s="94"/>
      <c r="J2" s="94"/>
    </row>
    <row r="3" spans="1:10" ht="12" customHeight="1" x14ac:dyDescent="0.25">
      <c r="A3" s="94"/>
      <c r="B3" s="54" t="s">
        <v>404</v>
      </c>
      <c r="C3" s="54"/>
      <c r="D3" s="54"/>
      <c r="E3" s="94"/>
      <c r="F3" s="94"/>
      <c r="G3" s="94"/>
      <c r="H3" s="94"/>
      <c r="I3" s="94"/>
      <c r="J3" s="94"/>
    </row>
    <row r="4" spans="1:10" ht="12" customHeight="1" x14ac:dyDescent="0.25">
      <c r="A4" s="94"/>
      <c r="B4" s="54"/>
      <c r="C4" s="54"/>
      <c r="D4" s="54"/>
      <c r="E4" s="94"/>
      <c r="F4" s="94"/>
      <c r="G4" s="94"/>
      <c r="H4" s="94"/>
      <c r="I4" s="94"/>
      <c r="J4" s="94"/>
    </row>
    <row r="5" spans="1:10" ht="15.75" x14ac:dyDescent="0.25">
      <c r="A5" s="1" t="s">
        <v>21</v>
      </c>
      <c r="B5" s="8" t="s">
        <v>6</v>
      </c>
      <c r="C5" s="59" t="s">
        <v>405</v>
      </c>
      <c r="D5" s="13">
        <v>43831</v>
      </c>
      <c r="E5" s="13">
        <v>43862</v>
      </c>
      <c r="F5" s="13">
        <v>43891</v>
      </c>
      <c r="G5" s="13">
        <v>43922</v>
      </c>
      <c r="H5" s="13">
        <v>43952</v>
      </c>
      <c r="I5" s="13">
        <v>43983</v>
      </c>
      <c r="J5" s="1" t="s">
        <v>81</v>
      </c>
    </row>
    <row r="6" spans="1:10" x14ac:dyDescent="0.25">
      <c r="A6" s="1">
        <v>1</v>
      </c>
      <c r="B6" s="1" t="s">
        <v>83</v>
      </c>
      <c r="C6" s="27">
        <v>16100</v>
      </c>
      <c r="D6" s="27">
        <v>0</v>
      </c>
      <c r="E6" s="27">
        <v>0</v>
      </c>
      <c r="F6" s="38">
        <v>0</v>
      </c>
      <c r="G6" s="38">
        <v>0</v>
      </c>
      <c r="H6" s="38">
        <v>0</v>
      </c>
      <c r="I6" s="38">
        <v>0</v>
      </c>
      <c r="J6" s="27">
        <f t="shared" ref="J6:J36" si="0">SUM(C6:I6)</f>
        <v>16100</v>
      </c>
    </row>
    <row r="7" spans="1:10" ht="15.75" x14ac:dyDescent="0.25">
      <c r="A7" s="1">
        <v>2</v>
      </c>
      <c r="B7" s="17" t="s">
        <v>95</v>
      </c>
      <c r="C7" s="68">
        <v>852900</v>
      </c>
      <c r="D7" s="27">
        <v>0</v>
      </c>
      <c r="E7" s="27">
        <v>0</v>
      </c>
      <c r="F7" s="38">
        <v>0</v>
      </c>
      <c r="G7" s="38">
        <v>0</v>
      </c>
      <c r="H7" s="38">
        <v>0</v>
      </c>
      <c r="I7" s="38">
        <v>0</v>
      </c>
      <c r="J7" s="27">
        <f t="shared" si="0"/>
        <v>852900</v>
      </c>
    </row>
    <row r="8" spans="1:10" x14ac:dyDescent="0.25">
      <c r="A8" s="1">
        <v>3</v>
      </c>
      <c r="B8" s="1" t="s">
        <v>82</v>
      </c>
      <c r="C8" s="27">
        <v>115500</v>
      </c>
      <c r="D8" s="27">
        <v>0</v>
      </c>
      <c r="E8" s="27">
        <v>0</v>
      </c>
      <c r="F8" s="38">
        <v>0</v>
      </c>
      <c r="G8" s="38">
        <v>0</v>
      </c>
      <c r="H8" s="38">
        <v>0</v>
      </c>
      <c r="I8" s="38">
        <v>0</v>
      </c>
      <c r="J8" s="27">
        <f t="shared" si="0"/>
        <v>115500</v>
      </c>
    </row>
    <row r="9" spans="1:10" x14ac:dyDescent="0.25">
      <c r="A9" s="1">
        <v>4</v>
      </c>
      <c r="B9" s="1" t="s">
        <v>107</v>
      </c>
      <c r="C9" s="27">
        <v>320120</v>
      </c>
      <c r="D9" s="27">
        <v>0</v>
      </c>
      <c r="E9" s="27">
        <v>0</v>
      </c>
      <c r="F9" s="38">
        <v>0</v>
      </c>
      <c r="G9" s="38">
        <v>0</v>
      </c>
      <c r="H9" s="38">
        <v>0</v>
      </c>
      <c r="I9" s="38">
        <v>0</v>
      </c>
      <c r="J9" s="27">
        <f t="shared" si="0"/>
        <v>320120</v>
      </c>
    </row>
    <row r="10" spans="1:10" x14ac:dyDescent="0.25">
      <c r="A10" s="1"/>
      <c r="B10" s="1" t="s">
        <v>123</v>
      </c>
      <c r="C10" s="27">
        <v>571500</v>
      </c>
      <c r="D10" s="27">
        <v>0</v>
      </c>
      <c r="E10" s="27">
        <v>0</v>
      </c>
      <c r="F10" s="38">
        <v>0</v>
      </c>
      <c r="G10" s="38">
        <v>0</v>
      </c>
      <c r="H10" s="38">
        <v>0</v>
      </c>
      <c r="I10" s="38">
        <v>0</v>
      </c>
      <c r="J10" s="27">
        <f t="shared" si="0"/>
        <v>571500</v>
      </c>
    </row>
    <row r="11" spans="1:10" x14ac:dyDescent="0.25">
      <c r="A11" s="1"/>
      <c r="B11" s="1" t="s">
        <v>381</v>
      </c>
      <c r="C11" s="27">
        <v>266500</v>
      </c>
      <c r="D11" s="27">
        <v>0</v>
      </c>
      <c r="E11" s="27">
        <v>0</v>
      </c>
      <c r="F11" s="38">
        <v>0</v>
      </c>
      <c r="G11" s="38">
        <v>0</v>
      </c>
      <c r="H11" s="38">
        <v>0</v>
      </c>
      <c r="I11" s="38">
        <v>0</v>
      </c>
      <c r="J11" s="27">
        <f t="shared" si="0"/>
        <v>266500</v>
      </c>
    </row>
    <row r="12" spans="1:10" x14ac:dyDescent="0.25">
      <c r="A12" s="1">
        <v>5</v>
      </c>
      <c r="B12" s="1" t="s">
        <v>84</v>
      </c>
      <c r="C12" s="27">
        <v>154708</v>
      </c>
      <c r="D12" s="27">
        <v>0</v>
      </c>
      <c r="E12" s="27">
        <v>0</v>
      </c>
      <c r="F12" s="38">
        <v>0</v>
      </c>
      <c r="G12" s="38">
        <v>0</v>
      </c>
      <c r="H12" s="38">
        <v>0</v>
      </c>
      <c r="I12" s="38">
        <v>0</v>
      </c>
      <c r="J12" s="27">
        <f t="shared" si="0"/>
        <v>154708</v>
      </c>
    </row>
    <row r="13" spans="1:10" x14ac:dyDescent="0.25">
      <c r="A13" s="1">
        <v>6</v>
      </c>
      <c r="B13" s="1" t="s">
        <v>109</v>
      </c>
      <c r="C13" s="27">
        <v>13694720</v>
      </c>
      <c r="D13" s="27">
        <v>19030</v>
      </c>
      <c r="E13" s="27">
        <v>28030</v>
      </c>
      <c r="F13" s="27">
        <v>0</v>
      </c>
      <c r="G13" s="27">
        <v>0</v>
      </c>
      <c r="H13" s="27">
        <v>0</v>
      </c>
      <c r="I13" s="27"/>
      <c r="J13" s="27">
        <f t="shared" si="0"/>
        <v>13741780</v>
      </c>
    </row>
    <row r="14" spans="1:10" x14ac:dyDescent="0.25">
      <c r="A14" s="1">
        <v>7</v>
      </c>
      <c r="B14" s="1" t="s">
        <v>37</v>
      </c>
      <c r="C14" s="27">
        <v>5344225</v>
      </c>
      <c r="D14" s="27">
        <v>128650</v>
      </c>
      <c r="E14" s="27">
        <v>124500</v>
      </c>
      <c r="F14" s="27">
        <v>130725</v>
      </c>
      <c r="G14" s="27">
        <v>0</v>
      </c>
      <c r="H14" s="27">
        <v>39600</v>
      </c>
      <c r="I14" s="27"/>
      <c r="J14" s="27">
        <f t="shared" si="0"/>
        <v>5767700</v>
      </c>
    </row>
    <row r="15" spans="1:10" x14ac:dyDescent="0.25">
      <c r="A15" s="1">
        <v>8</v>
      </c>
      <c r="B15" s="1" t="s">
        <v>111</v>
      </c>
      <c r="C15" s="27">
        <v>4952683</v>
      </c>
      <c r="D15" s="27">
        <v>0</v>
      </c>
      <c r="E15" s="27">
        <v>0</v>
      </c>
      <c r="F15" s="27">
        <v>0</v>
      </c>
      <c r="G15" s="27">
        <v>0</v>
      </c>
      <c r="H15" s="27">
        <v>0</v>
      </c>
      <c r="I15" s="27"/>
      <c r="J15" s="27">
        <f t="shared" si="0"/>
        <v>4952683</v>
      </c>
    </row>
    <row r="16" spans="1:10" x14ac:dyDescent="0.25">
      <c r="A16" s="1">
        <v>9</v>
      </c>
      <c r="B16" s="1" t="s">
        <v>96</v>
      </c>
      <c r="C16" s="27">
        <v>1543250</v>
      </c>
      <c r="D16" s="27">
        <v>57000</v>
      </c>
      <c r="E16" s="27">
        <v>0</v>
      </c>
      <c r="F16" s="27">
        <v>44500</v>
      </c>
      <c r="G16" s="27">
        <v>0</v>
      </c>
      <c r="H16" s="27">
        <v>15900</v>
      </c>
      <c r="I16" s="27">
        <v>29800</v>
      </c>
      <c r="J16" s="27">
        <f t="shared" si="0"/>
        <v>1690450</v>
      </c>
    </row>
    <row r="17" spans="1:10" x14ac:dyDescent="0.25">
      <c r="A17" s="1">
        <v>10</v>
      </c>
      <c r="B17" s="1" t="s">
        <v>217</v>
      </c>
      <c r="C17" s="27">
        <v>756315</v>
      </c>
      <c r="D17" s="27">
        <v>9900</v>
      </c>
      <c r="E17" s="27">
        <v>7000</v>
      </c>
      <c r="F17" s="27">
        <v>0</v>
      </c>
      <c r="G17" s="27">
        <v>0</v>
      </c>
      <c r="H17" s="27">
        <v>0</v>
      </c>
      <c r="I17" s="27">
        <v>8700</v>
      </c>
      <c r="J17" s="27">
        <f t="shared" si="0"/>
        <v>781915</v>
      </c>
    </row>
    <row r="18" spans="1:10" x14ac:dyDescent="0.25">
      <c r="A18" s="1">
        <v>11</v>
      </c>
      <c r="B18" s="1" t="s">
        <v>336</v>
      </c>
      <c r="C18" s="27">
        <v>192980</v>
      </c>
      <c r="D18" s="27">
        <v>0</v>
      </c>
      <c r="E18" s="27">
        <v>0</v>
      </c>
      <c r="F18" s="27">
        <v>0</v>
      </c>
      <c r="G18" s="27">
        <v>0</v>
      </c>
      <c r="H18" s="27">
        <v>0</v>
      </c>
      <c r="I18" s="27"/>
      <c r="J18" s="27">
        <f t="shared" si="0"/>
        <v>192980</v>
      </c>
    </row>
    <row r="19" spans="1:10" x14ac:dyDescent="0.25">
      <c r="A19" s="1"/>
      <c r="B19" s="1" t="s">
        <v>108</v>
      </c>
      <c r="C19" s="27">
        <v>210294</v>
      </c>
      <c r="D19" s="27">
        <v>0</v>
      </c>
      <c r="E19" s="27">
        <v>7840</v>
      </c>
      <c r="F19" s="27">
        <v>3900</v>
      </c>
      <c r="G19" s="27">
        <v>0</v>
      </c>
      <c r="H19" s="27">
        <v>0</v>
      </c>
      <c r="I19" s="27">
        <v>11700</v>
      </c>
      <c r="J19" s="27">
        <f t="shared" si="0"/>
        <v>233734</v>
      </c>
    </row>
    <row r="20" spans="1:10" x14ac:dyDescent="0.25">
      <c r="A20" s="1"/>
      <c r="B20" s="1" t="s">
        <v>119</v>
      </c>
      <c r="C20" s="27">
        <v>465836</v>
      </c>
      <c r="D20" s="27">
        <v>15403</v>
      </c>
      <c r="E20" s="27">
        <v>17733</v>
      </c>
      <c r="F20" s="27">
        <v>12693</v>
      </c>
      <c r="G20" s="27">
        <v>0</v>
      </c>
      <c r="H20" s="27">
        <v>0</v>
      </c>
      <c r="I20" s="27">
        <v>65031</v>
      </c>
      <c r="J20" s="27">
        <f t="shared" si="0"/>
        <v>576696</v>
      </c>
    </row>
    <row r="21" spans="1:10" x14ac:dyDescent="0.25">
      <c r="A21" s="1">
        <v>12</v>
      </c>
      <c r="B21" s="1" t="s">
        <v>331</v>
      </c>
      <c r="C21" s="27">
        <v>666220</v>
      </c>
      <c r="D21" s="27"/>
      <c r="E21" s="27"/>
      <c r="F21" s="27"/>
      <c r="G21" s="27"/>
      <c r="H21" s="27"/>
      <c r="I21" s="27"/>
      <c r="J21" s="27">
        <f t="shared" si="0"/>
        <v>666220</v>
      </c>
    </row>
    <row r="22" spans="1:10" x14ac:dyDescent="0.25">
      <c r="A22" s="1">
        <v>13</v>
      </c>
      <c r="B22" s="1" t="s">
        <v>88</v>
      </c>
      <c r="C22" s="27">
        <v>169309</v>
      </c>
      <c r="D22" s="27"/>
      <c r="E22" s="27"/>
      <c r="F22" s="27"/>
      <c r="G22" s="27"/>
      <c r="H22" s="27"/>
      <c r="I22" s="27"/>
      <c r="J22" s="27">
        <f t="shared" si="0"/>
        <v>169309</v>
      </c>
    </row>
    <row r="23" spans="1:10" x14ac:dyDescent="0.25">
      <c r="A23" s="1">
        <v>14</v>
      </c>
      <c r="B23" s="1" t="s">
        <v>89</v>
      </c>
      <c r="C23" s="27">
        <v>104546</v>
      </c>
      <c r="D23" s="27">
        <v>0</v>
      </c>
      <c r="E23" s="27">
        <v>0</v>
      </c>
      <c r="F23" s="27">
        <v>0</v>
      </c>
      <c r="G23" s="27"/>
      <c r="H23" s="27">
        <v>0</v>
      </c>
      <c r="I23" s="27"/>
      <c r="J23" s="27">
        <f t="shared" si="0"/>
        <v>104546</v>
      </c>
    </row>
    <row r="24" spans="1:10" x14ac:dyDescent="0.25">
      <c r="A24" s="1">
        <v>14</v>
      </c>
      <c r="B24" s="1" t="s">
        <v>90</v>
      </c>
      <c r="C24" s="27">
        <v>722500</v>
      </c>
      <c r="D24" s="27">
        <v>0</v>
      </c>
      <c r="E24" s="27">
        <v>0</v>
      </c>
      <c r="F24" s="27">
        <v>0</v>
      </c>
      <c r="G24" s="27">
        <v>0</v>
      </c>
      <c r="H24" s="27">
        <v>176000</v>
      </c>
      <c r="I24" s="27">
        <v>0</v>
      </c>
      <c r="J24" s="27">
        <f t="shared" si="0"/>
        <v>898500</v>
      </c>
    </row>
    <row r="25" spans="1:10" x14ac:dyDescent="0.25">
      <c r="A25" s="1">
        <v>15</v>
      </c>
      <c r="B25" s="76" t="s">
        <v>120</v>
      </c>
      <c r="C25" s="27">
        <v>80483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f t="shared" si="0"/>
        <v>80483</v>
      </c>
    </row>
    <row r="26" spans="1:10" x14ac:dyDescent="0.25">
      <c r="A26" s="1">
        <v>16</v>
      </c>
      <c r="B26" s="1" t="s">
        <v>128</v>
      </c>
      <c r="C26" s="27">
        <v>532965</v>
      </c>
      <c r="D26" s="27">
        <v>6719</v>
      </c>
      <c r="E26" s="27">
        <v>3305</v>
      </c>
      <c r="F26" s="27">
        <v>8610</v>
      </c>
      <c r="G26" s="27">
        <v>1083</v>
      </c>
      <c r="H26" s="27">
        <v>3715</v>
      </c>
      <c r="I26" s="27">
        <v>1815</v>
      </c>
      <c r="J26" s="27">
        <f t="shared" si="0"/>
        <v>558212</v>
      </c>
    </row>
    <row r="27" spans="1:10" x14ac:dyDescent="0.25">
      <c r="A27" s="1">
        <v>17</v>
      </c>
      <c r="B27" s="1" t="s">
        <v>127</v>
      </c>
      <c r="C27" s="27">
        <v>44000</v>
      </c>
      <c r="D27" s="27">
        <v>500</v>
      </c>
      <c r="E27" s="27"/>
      <c r="F27" s="27"/>
      <c r="G27" s="27"/>
      <c r="H27" s="27"/>
      <c r="I27" s="27">
        <v>0</v>
      </c>
      <c r="J27" s="27">
        <f t="shared" si="0"/>
        <v>44500</v>
      </c>
    </row>
    <row r="28" spans="1:10" x14ac:dyDescent="0.25">
      <c r="A28" s="1">
        <v>18</v>
      </c>
      <c r="B28" s="1" t="s">
        <v>129</v>
      </c>
      <c r="C28" s="27">
        <v>3449510</v>
      </c>
      <c r="D28" s="27">
        <v>102000</v>
      </c>
      <c r="E28" s="27">
        <v>143100</v>
      </c>
      <c r="F28" s="27">
        <v>0</v>
      </c>
      <c r="G28" s="27">
        <v>0</v>
      </c>
      <c r="H28" s="27">
        <v>0</v>
      </c>
      <c r="I28" s="27">
        <v>83300</v>
      </c>
      <c r="J28" s="27">
        <f t="shared" si="0"/>
        <v>3777910</v>
      </c>
    </row>
    <row r="29" spans="1:10" x14ac:dyDescent="0.25">
      <c r="A29" s="1">
        <v>19</v>
      </c>
      <c r="B29" s="1" t="s">
        <v>157</v>
      </c>
      <c r="C29" s="27">
        <v>41976</v>
      </c>
      <c r="D29" s="27">
        <v>0</v>
      </c>
      <c r="E29" s="27">
        <v>0</v>
      </c>
      <c r="F29" s="27">
        <v>0</v>
      </c>
      <c r="G29" s="27"/>
      <c r="H29" s="27"/>
      <c r="I29" s="27"/>
      <c r="J29" s="27">
        <f t="shared" si="0"/>
        <v>41976</v>
      </c>
    </row>
    <row r="30" spans="1:10" x14ac:dyDescent="0.25">
      <c r="A30" s="1">
        <v>20</v>
      </c>
      <c r="B30" s="1" t="s">
        <v>158</v>
      </c>
      <c r="C30" s="27">
        <v>3880</v>
      </c>
      <c r="D30" s="27">
        <v>0</v>
      </c>
      <c r="E30" s="27">
        <v>0</v>
      </c>
      <c r="F30" s="27">
        <v>0</v>
      </c>
      <c r="G30" s="27"/>
      <c r="H30" s="27"/>
      <c r="I30" s="27">
        <v>0</v>
      </c>
      <c r="J30" s="27">
        <f t="shared" si="0"/>
        <v>3880</v>
      </c>
    </row>
    <row r="31" spans="1:10" x14ac:dyDescent="0.25">
      <c r="A31" s="66">
        <v>21</v>
      </c>
      <c r="B31" s="66" t="s">
        <v>209</v>
      </c>
      <c r="C31" s="27">
        <v>62573</v>
      </c>
      <c r="D31" s="27">
        <v>0</v>
      </c>
      <c r="E31" s="27">
        <v>0</v>
      </c>
      <c r="F31" s="27">
        <v>0</v>
      </c>
      <c r="G31" s="91">
        <v>0</v>
      </c>
      <c r="H31" s="91">
        <v>0</v>
      </c>
      <c r="I31" s="91">
        <v>0</v>
      </c>
      <c r="J31" s="91">
        <f t="shared" si="0"/>
        <v>62573</v>
      </c>
    </row>
    <row r="32" spans="1:10" x14ac:dyDescent="0.25">
      <c r="A32" s="66">
        <v>22</v>
      </c>
      <c r="B32" s="66" t="s">
        <v>210</v>
      </c>
      <c r="C32" s="27">
        <v>47610</v>
      </c>
      <c r="D32" s="27">
        <v>0</v>
      </c>
      <c r="E32" s="27">
        <v>0</v>
      </c>
      <c r="F32" s="27">
        <v>0</v>
      </c>
      <c r="G32" s="91">
        <v>0</v>
      </c>
      <c r="H32" s="91">
        <v>0</v>
      </c>
      <c r="I32" s="91">
        <v>0</v>
      </c>
      <c r="J32" s="91">
        <f t="shared" si="0"/>
        <v>47610</v>
      </c>
    </row>
    <row r="33" spans="1:10" x14ac:dyDescent="0.25">
      <c r="A33" s="3">
        <v>23</v>
      </c>
      <c r="B33" s="3" t="s">
        <v>130</v>
      </c>
      <c r="C33" s="28">
        <v>1812545</v>
      </c>
      <c r="D33" s="28">
        <v>0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7">
        <f t="shared" si="0"/>
        <v>1812545</v>
      </c>
    </row>
    <row r="34" spans="1:10" x14ac:dyDescent="0.25">
      <c r="A34" s="3" t="s">
        <v>305</v>
      </c>
      <c r="B34" s="3" t="s">
        <v>306</v>
      </c>
      <c r="C34" s="15">
        <v>3750600</v>
      </c>
      <c r="D34" s="15">
        <v>248600</v>
      </c>
      <c r="E34" s="15">
        <v>174600</v>
      </c>
      <c r="F34" s="15">
        <v>122750</v>
      </c>
      <c r="G34" s="15">
        <v>77060</v>
      </c>
      <c r="H34" s="15">
        <v>136300</v>
      </c>
      <c r="I34" s="15">
        <v>33600</v>
      </c>
      <c r="J34" s="14">
        <f t="shared" si="0"/>
        <v>4543510</v>
      </c>
    </row>
    <row r="35" spans="1:10" x14ac:dyDescent="0.25">
      <c r="A35" s="1">
        <v>24</v>
      </c>
      <c r="B35" s="1" t="s">
        <v>216</v>
      </c>
      <c r="C35" s="14">
        <v>5323727</v>
      </c>
      <c r="D35" s="14">
        <v>89500</v>
      </c>
      <c r="E35" s="14">
        <v>93630</v>
      </c>
      <c r="F35" s="14">
        <v>94500</v>
      </c>
      <c r="G35" s="14">
        <v>94000</v>
      </c>
      <c r="H35" s="14">
        <v>138000</v>
      </c>
      <c r="I35" s="14">
        <v>94500</v>
      </c>
      <c r="J35" s="14">
        <f t="shared" si="0"/>
        <v>5927857</v>
      </c>
    </row>
    <row r="36" spans="1:10" x14ac:dyDescent="0.25">
      <c r="A36" s="1">
        <v>25</v>
      </c>
      <c r="B36" s="1" t="s">
        <v>282</v>
      </c>
      <c r="C36" s="14">
        <v>25500</v>
      </c>
      <c r="D36" s="14">
        <v>3000</v>
      </c>
      <c r="E36" s="14">
        <v>0</v>
      </c>
      <c r="F36" s="1">
        <v>0</v>
      </c>
      <c r="G36" s="14">
        <v>0</v>
      </c>
      <c r="H36" s="14">
        <v>0</v>
      </c>
      <c r="I36" s="14">
        <v>0</v>
      </c>
      <c r="J36" s="14">
        <f t="shared" si="0"/>
        <v>28500</v>
      </c>
    </row>
    <row r="37" spans="1:10" x14ac:dyDescent="0.25">
      <c r="A37" s="1"/>
      <c r="B37" s="3" t="s">
        <v>93</v>
      </c>
      <c r="C37" s="15">
        <f t="shared" ref="C37:J37" si="1">SUM(C6:C36)</f>
        <v>46295575</v>
      </c>
      <c r="D37" s="15">
        <f t="shared" si="1"/>
        <v>680302</v>
      </c>
      <c r="E37" s="15">
        <f t="shared" si="1"/>
        <v>599738</v>
      </c>
      <c r="F37" s="15">
        <f t="shared" si="1"/>
        <v>417678</v>
      </c>
      <c r="G37" s="15">
        <f t="shared" si="1"/>
        <v>172143</v>
      </c>
      <c r="H37" s="15">
        <f>SUM(H6:H36)</f>
        <v>509515</v>
      </c>
      <c r="I37" s="15">
        <f t="shared" si="1"/>
        <v>328446</v>
      </c>
      <c r="J37" s="15">
        <f t="shared" si="1"/>
        <v>49003397</v>
      </c>
    </row>
    <row r="41" spans="1:10" x14ac:dyDescent="0.25">
      <c r="A41" s="1"/>
      <c r="B41" s="3" t="s">
        <v>337</v>
      </c>
      <c r="C41" s="59" t="s">
        <v>405</v>
      </c>
      <c r="D41" s="13">
        <v>43831</v>
      </c>
      <c r="E41" s="13">
        <v>43862</v>
      </c>
      <c r="F41" s="13">
        <v>43891</v>
      </c>
      <c r="G41" s="13">
        <v>43922</v>
      </c>
      <c r="H41" s="13">
        <v>43952</v>
      </c>
      <c r="I41" s="13">
        <v>43983</v>
      </c>
      <c r="J41" s="1" t="s">
        <v>81</v>
      </c>
    </row>
    <row r="42" spans="1:10" x14ac:dyDescent="0.25">
      <c r="A42" s="1">
        <v>16</v>
      </c>
      <c r="B42" s="1" t="s">
        <v>92</v>
      </c>
      <c r="C42" s="14">
        <v>248482</v>
      </c>
      <c r="D42" s="14"/>
      <c r="E42" s="14">
        <v>0</v>
      </c>
      <c r="F42" s="14">
        <v>0</v>
      </c>
      <c r="G42" s="14">
        <v>0</v>
      </c>
      <c r="H42" s="27">
        <v>0</v>
      </c>
      <c r="I42" s="27"/>
      <c r="J42" s="14">
        <f t="shared" ref="J42:J62" si="2">SUM(C42:I42)</f>
        <v>248482</v>
      </c>
    </row>
    <row r="43" spans="1:10" x14ac:dyDescent="0.25">
      <c r="A43" s="1">
        <v>17</v>
      </c>
      <c r="B43" s="1" t="s">
        <v>97</v>
      </c>
      <c r="C43" s="14">
        <v>190000</v>
      </c>
      <c r="D43" s="14">
        <v>0</v>
      </c>
      <c r="E43" s="14">
        <v>0</v>
      </c>
      <c r="F43" s="14">
        <v>0</v>
      </c>
      <c r="G43" s="14">
        <v>0</v>
      </c>
      <c r="H43" s="27">
        <v>0</v>
      </c>
      <c r="I43" s="27"/>
      <c r="J43" s="14">
        <f t="shared" si="2"/>
        <v>190000</v>
      </c>
    </row>
    <row r="44" spans="1:10" x14ac:dyDescent="0.25">
      <c r="A44" s="1">
        <v>18</v>
      </c>
      <c r="B44" s="1" t="s">
        <v>98</v>
      </c>
      <c r="C44" s="14">
        <v>107416</v>
      </c>
      <c r="D44" s="14">
        <v>1095</v>
      </c>
      <c r="E44" s="14">
        <v>4093</v>
      </c>
      <c r="F44" s="14">
        <v>885</v>
      </c>
      <c r="G44" s="14">
        <v>910</v>
      </c>
      <c r="H44" s="27">
        <v>3905</v>
      </c>
      <c r="I44" s="27">
        <v>1111</v>
      </c>
      <c r="J44" s="14">
        <f t="shared" si="2"/>
        <v>119415</v>
      </c>
    </row>
    <row r="45" spans="1:10" x14ac:dyDescent="0.25">
      <c r="A45" s="1">
        <v>19</v>
      </c>
      <c r="B45" s="1" t="s">
        <v>46</v>
      </c>
      <c r="C45" s="14">
        <v>76766</v>
      </c>
      <c r="D45" s="14">
        <v>575</v>
      </c>
      <c r="E45" s="14">
        <v>330</v>
      </c>
      <c r="F45" s="14">
        <v>1435</v>
      </c>
      <c r="G45" s="14">
        <v>0</v>
      </c>
      <c r="H45" s="27">
        <v>100</v>
      </c>
      <c r="I45" s="27">
        <v>240</v>
      </c>
      <c r="J45" s="14">
        <f t="shared" si="2"/>
        <v>79446</v>
      </c>
    </row>
    <row r="46" spans="1:10" x14ac:dyDescent="0.25">
      <c r="A46" s="1">
        <v>20</v>
      </c>
      <c r="B46" s="1" t="s">
        <v>14</v>
      </c>
      <c r="C46" s="14">
        <v>121441</v>
      </c>
      <c r="D46" s="14">
        <v>1495</v>
      </c>
      <c r="E46" s="14">
        <v>1025</v>
      </c>
      <c r="F46" s="14">
        <v>1270</v>
      </c>
      <c r="G46" s="14">
        <v>70</v>
      </c>
      <c r="H46" s="27">
        <v>200</v>
      </c>
      <c r="I46" s="27">
        <v>805</v>
      </c>
      <c r="J46" s="14">
        <f t="shared" si="2"/>
        <v>126306</v>
      </c>
    </row>
    <row r="47" spans="1:10" x14ac:dyDescent="0.25">
      <c r="A47" s="3">
        <v>21</v>
      </c>
      <c r="B47" s="3" t="s">
        <v>376</v>
      </c>
      <c r="C47" s="14">
        <v>732054</v>
      </c>
      <c r="D47" s="14">
        <v>31075</v>
      </c>
      <c r="E47" s="14">
        <v>37830</v>
      </c>
      <c r="F47" s="14">
        <v>0</v>
      </c>
      <c r="G47" s="14">
        <v>0</v>
      </c>
      <c r="H47" s="27">
        <v>0</v>
      </c>
      <c r="I47" s="27"/>
      <c r="J47" s="14">
        <f t="shared" si="2"/>
        <v>800959</v>
      </c>
    </row>
    <row r="48" spans="1:10" x14ac:dyDescent="0.25">
      <c r="A48" s="3"/>
      <c r="B48" s="3" t="s">
        <v>348</v>
      </c>
      <c r="C48" s="14">
        <v>99500</v>
      </c>
      <c r="D48" s="14">
        <v>0</v>
      </c>
      <c r="E48" s="14">
        <v>0</v>
      </c>
      <c r="F48" s="14">
        <v>0</v>
      </c>
      <c r="G48" s="14">
        <v>0</v>
      </c>
      <c r="H48" s="27">
        <v>0</v>
      </c>
      <c r="I48" s="27"/>
      <c r="J48" s="14">
        <f t="shared" si="2"/>
        <v>99500</v>
      </c>
    </row>
    <row r="49" spans="1:10" x14ac:dyDescent="0.25">
      <c r="A49" s="1">
        <v>22</v>
      </c>
      <c r="B49" s="1" t="s">
        <v>333</v>
      </c>
      <c r="C49" s="14">
        <v>415165</v>
      </c>
      <c r="D49" s="14">
        <v>0</v>
      </c>
      <c r="E49" s="14">
        <v>5600</v>
      </c>
      <c r="F49" s="14">
        <v>82435</v>
      </c>
      <c r="G49" s="14">
        <v>7224</v>
      </c>
      <c r="H49" s="27">
        <v>0</v>
      </c>
      <c r="I49" s="27"/>
      <c r="J49" s="14">
        <f t="shared" si="2"/>
        <v>510424</v>
      </c>
    </row>
    <row r="50" spans="1:10" x14ac:dyDescent="0.25">
      <c r="A50" s="1">
        <v>23</v>
      </c>
      <c r="B50" s="1" t="s">
        <v>352</v>
      </c>
      <c r="C50" s="14">
        <v>495900</v>
      </c>
      <c r="D50" s="14">
        <v>0</v>
      </c>
      <c r="E50" s="14">
        <v>0</v>
      </c>
      <c r="F50" s="14">
        <v>80000</v>
      </c>
      <c r="G50" s="14">
        <v>0</v>
      </c>
      <c r="H50" s="27">
        <v>0</v>
      </c>
      <c r="I50" s="27"/>
      <c r="J50" s="14">
        <f t="shared" si="2"/>
        <v>575900</v>
      </c>
    </row>
    <row r="51" spans="1:10" x14ac:dyDescent="0.25">
      <c r="A51" s="1"/>
      <c r="B51" s="3" t="s">
        <v>353</v>
      </c>
      <c r="C51" s="14">
        <v>134090</v>
      </c>
      <c r="D51" s="14">
        <v>0</v>
      </c>
      <c r="E51" s="14">
        <v>0</v>
      </c>
      <c r="F51" s="14">
        <v>0</v>
      </c>
      <c r="G51" s="14">
        <v>0</v>
      </c>
      <c r="H51" s="27">
        <v>0</v>
      </c>
      <c r="I51" s="27"/>
      <c r="J51" s="14">
        <f>SUM(C51:I51)</f>
        <v>134090</v>
      </c>
    </row>
    <row r="52" spans="1:10" x14ac:dyDescent="0.25">
      <c r="A52" s="1"/>
      <c r="B52" s="3" t="s">
        <v>419</v>
      </c>
      <c r="C52" s="1">
        <v>0</v>
      </c>
      <c r="D52" s="1">
        <v>0</v>
      </c>
      <c r="E52" s="14">
        <v>13000</v>
      </c>
      <c r="F52" s="1">
        <v>5000</v>
      </c>
      <c r="G52" s="1">
        <v>14000</v>
      </c>
      <c r="H52" s="1">
        <v>0</v>
      </c>
      <c r="I52" s="1"/>
      <c r="J52" s="1">
        <f>SUM(C52:I52)</f>
        <v>32000</v>
      </c>
    </row>
    <row r="53" spans="1:10" x14ac:dyDescent="0.25">
      <c r="A53" s="1">
        <v>24</v>
      </c>
      <c r="B53" s="1" t="s">
        <v>351</v>
      </c>
      <c r="C53" s="14">
        <v>438650</v>
      </c>
      <c r="D53" s="14">
        <v>61020</v>
      </c>
      <c r="E53" s="14">
        <v>29870</v>
      </c>
      <c r="F53" s="14">
        <v>30270</v>
      </c>
      <c r="G53" s="14">
        <v>0</v>
      </c>
      <c r="H53" s="27">
        <v>0</v>
      </c>
      <c r="I53" s="27"/>
      <c r="J53" s="14">
        <f t="shared" si="2"/>
        <v>559810</v>
      </c>
    </row>
    <row r="54" spans="1:10" x14ac:dyDescent="0.25">
      <c r="A54" s="1"/>
      <c r="B54" s="3" t="s">
        <v>350</v>
      </c>
      <c r="C54" s="14">
        <v>126500</v>
      </c>
      <c r="D54" s="14">
        <v>31000</v>
      </c>
      <c r="E54" s="14">
        <v>7000</v>
      </c>
      <c r="F54" s="14">
        <v>22000</v>
      </c>
      <c r="G54" s="14">
        <v>0</v>
      </c>
      <c r="H54" s="27">
        <v>21000</v>
      </c>
      <c r="I54" s="27">
        <v>3500</v>
      </c>
      <c r="J54" s="14">
        <f t="shared" si="2"/>
        <v>211000</v>
      </c>
    </row>
    <row r="55" spans="1:10" x14ac:dyDescent="0.25">
      <c r="A55" s="1">
        <v>25</v>
      </c>
      <c r="B55" s="1" t="s">
        <v>347</v>
      </c>
      <c r="C55" s="14">
        <v>441633</v>
      </c>
      <c r="D55" s="14">
        <v>10200</v>
      </c>
      <c r="E55" s="14">
        <v>86185</v>
      </c>
      <c r="F55" s="14">
        <v>0</v>
      </c>
      <c r="G55" s="14">
        <v>0</v>
      </c>
      <c r="H55" s="27">
        <v>0</v>
      </c>
      <c r="I55" s="27"/>
      <c r="J55" s="14">
        <f t="shared" si="2"/>
        <v>538018</v>
      </c>
    </row>
    <row r="56" spans="1:10" x14ac:dyDescent="0.25">
      <c r="A56" s="1" t="s">
        <v>390</v>
      </c>
      <c r="B56" s="3" t="s">
        <v>391</v>
      </c>
      <c r="C56" s="14">
        <v>123000</v>
      </c>
      <c r="D56" s="14">
        <v>5000</v>
      </c>
      <c r="E56" s="14">
        <v>30000</v>
      </c>
      <c r="F56" s="14">
        <v>0</v>
      </c>
      <c r="G56" s="14">
        <v>0</v>
      </c>
      <c r="H56" s="27">
        <v>13000</v>
      </c>
      <c r="I56" s="27"/>
      <c r="J56" s="14">
        <f t="shared" si="2"/>
        <v>171000</v>
      </c>
    </row>
    <row r="57" spans="1:10" x14ac:dyDescent="0.25">
      <c r="A57" s="1">
        <v>26</v>
      </c>
      <c r="B57" s="1" t="s">
        <v>349</v>
      </c>
      <c r="C57" s="14">
        <v>50692</v>
      </c>
      <c r="D57" s="14">
        <v>0</v>
      </c>
      <c r="E57" s="14">
        <v>0</v>
      </c>
      <c r="F57" s="14">
        <v>0</v>
      </c>
      <c r="G57" s="14">
        <v>0</v>
      </c>
      <c r="H57" s="27">
        <v>0</v>
      </c>
      <c r="I57" s="27"/>
      <c r="J57" s="14">
        <f t="shared" si="2"/>
        <v>50692</v>
      </c>
    </row>
    <row r="58" spans="1:10" x14ac:dyDescent="0.25">
      <c r="A58" s="1">
        <v>27</v>
      </c>
      <c r="B58" s="1" t="s">
        <v>354</v>
      </c>
      <c r="C58" s="14">
        <v>105650</v>
      </c>
      <c r="D58" s="14">
        <v>13770</v>
      </c>
      <c r="E58" s="14">
        <v>0</v>
      </c>
      <c r="F58" s="14">
        <v>0</v>
      </c>
      <c r="G58" s="14">
        <v>0</v>
      </c>
      <c r="H58" s="27">
        <v>0</v>
      </c>
      <c r="I58" s="27"/>
      <c r="J58" s="14">
        <f t="shared" si="2"/>
        <v>119420</v>
      </c>
    </row>
    <row r="59" spans="1:10" x14ac:dyDescent="0.25">
      <c r="A59" s="1">
        <v>28</v>
      </c>
      <c r="B59" s="3" t="s">
        <v>382</v>
      </c>
      <c r="C59" s="14">
        <v>83000</v>
      </c>
      <c r="D59" s="14">
        <v>4000</v>
      </c>
      <c r="E59" s="14">
        <v>0</v>
      </c>
      <c r="F59" s="14">
        <v>5000</v>
      </c>
      <c r="G59" s="14">
        <v>0</v>
      </c>
      <c r="H59" s="27">
        <v>0</v>
      </c>
      <c r="I59" s="27"/>
      <c r="J59" s="14">
        <f t="shared" si="2"/>
        <v>92000</v>
      </c>
    </row>
    <row r="60" spans="1:10" x14ac:dyDescent="0.25">
      <c r="A60" s="1">
        <v>29</v>
      </c>
      <c r="B60" s="3" t="s">
        <v>355</v>
      </c>
      <c r="C60" s="14">
        <v>291000</v>
      </c>
      <c r="D60" s="14">
        <v>0</v>
      </c>
      <c r="E60" s="14">
        <v>0</v>
      </c>
      <c r="F60" s="14">
        <v>10000</v>
      </c>
      <c r="G60" s="14">
        <v>0</v>
      </c>
      <c r="H60" s="27">
        <v>0</v>
      </c>
      <c r="I60" s="27"/>
      <c r="J60" s="14">
        <f t="shared" si="2"/>
        <v>301000</v>
      </c>
    </row>
    <row r="61" spans="1:10" x14ac:dyDescent="0.25">
      <c r="A61" s="1">
        <v>30</v>
      </c>
      <c r="B61" s="38" t="s">
        <v>275</v>
      </c>
      <c r="C61" s="77">
        <v>3983400</v>
      </c>
      <c r="D61" s="77">
        <v>0</v>
      </c>
      <c r="E61" s="77">
        <v>0</v>
      </c>
      <c r="F61" s="77">
        <v>0</v>
      </c>
      <c r="G61" s="77">
        <v>0</v>
      </c>
      <c r="H61" s="79">
        <v>0</v>
      </c>
      <c r="I61" s="79"/>
      <c r="J61" s="77">
        <f t="shared" si="2"/>
        <v>3983400</v>
      </c>
    </row>
    <row r="62" spans="1:10" x14ac:dyDescent="0.25">
      <c r="A62" s="1">
        <v>31</v>
      </c>
      <c r="B62" s="1" t="s">
        <v>314</v>
      </c>
      <c r="C62" s="77">
        <v>835000</v>
      </c>
      <c r="D62" s="77">
        <v>0</v>
      </c>
      <c r="E62" s="77">
        <v>0</v>
      </c>
      <c r="F62" s="77">
        <v>0</v>
      </c>
      <c r="G62" s="77">
        <v>0</v>
      </c>
      <c r="H62" s="79">
        <v>0</v>
      </c>
      <c r="I62" s="79"/>
      <c r="J62" s="77">
        <f t="shared" si="2"/>
        <v>835000</v>
      </c>
    </row>
    <row r="63" spans="1:10" x14ac:dyDescent="0.25">
      <c r="A63" s="1"/>
      <c r="B63" s="3" t="s">
        <v>93</v>
      </c>
      <c r="C63" s="74">
        <f t="shared" ref="C63:J63" si="3">SUM(C42:C60)</f>
        <v>4280939</v>
      </c>
      <c r="D63" s="74">
        <f t="shared" si="3"/>
        <v>159230</v>
      </c>
      <c r="E63" s="74">
        <f t="shared" si="3"/>
        <v>214933</v>
      </c>
      <c r="F63" s="74">
        <f t="shared" si="3"/>
        <v>238295</v>
      </c>
      <c r="G63" s="74">
        <f t="shared" si="3"/>
        <v>22204</v>
      </c>
      <c r="H63" s="74">
        <f t="shared" si="3"/>
        <v>38205</v>
      </c>
      <c r="I63" s="74">
        <f t="shared" si="3"/>
        <v>5656</v>
      </c>
      <c r="J63" s="74">
        <f t="shared" si="3"/>
        <v>4959462</v>
      </c>
    </row>
    <row r="64" spans="1:10" ht="15.75" x14ac:dyDescent="0.25">
      <c r="A64" s="1"/>
      <c r="B64" s="8" t="s">
        <v>94</v>
      </c>
      <c r="C64" s="16">
        <f t="shared" ref="C64:I64" si="4">C37+C63</f>
        <v>50576514</v>
      </c>
      <c r="D64" s="16">
        <f t="shared" si="4"/>
        <v>839532</v>
      </c>
      <c r="E64" s="16">
        <f t="shared" si="4"/>
        <v>814671</v>
      </c>
      <c r="F64" s="16">
        <f t="shared" si="4"/>
        <v>655973</v>
      </c>
      <c r="G64" s="16">
        <f t="shared" si="4"/>
        <v>194347</v>
      </c>
      <c r="H64" s="16">
        <f t="shared" si="4"/>
        <v>547720</v>
      </c>
      <c r="I64" s="16">
        <f t="shared" si="4"/>
        <v>334102</v>
      </c>
      <c r="J64" s="16">
        <f>SUM(J37+J63)</f>
        <v>53962859</v>
      </c>
    </row>
    <row r="65" spans="1:10" x14ac:dyDescent="0.25">
      <c r="J65" s="12"/>
    </row>
    <row r="66" spans="1:10" x14ac:dyDescent="0.25">
      <c r="J66" s="26"/>
    </row>
    <row r="71" spans="1:10" ht="18.75" x14ac:dyDescent="0.3">
      <c r="B71" s="5"/>
    </row>
    <row r="72" spans="1:10" ht="18.75" x14ac:dyDescent="0.3">
      <c r="B72" s="5"/>
    </row>
    <row r="73" spans="1:10" ht="18.75" x14ac:dyDescent="0.3">
      <c r="B73" s="5"/>
    </row>
    <row r="74" spans="1:10" x14ac:dyDescent="0.25">
      <c r="A74" s="61"/>
      <c r="B74" s="61"/>
      <c r="C74" s="80"/>
      <c r="D74" s="60"/>
      <c r="E74" s="60"/>
      <c r="F74" s="60"/>
      <c r="G74" s="61"/>
    </row>
    <row r="75" spans="1:10" ht="18.75" x14ac:dyDescent="0.3">
      <c r="B75" s="5" t="s">
        <v>80</v>
      </c>
    </row>
    <row r="76" spans="1:10" ht="18.75" x14ac:dyDescent="0.3">
      <c r="B76" s="5" t="s">
        <v>64</v>
      </c>
    </row>
    <row r="77" spans="1:10" ht="18.75" x14ac:dyDescent="0.3">
      <c r="B77" s="5" t="s">
        <v>271</v>
      </c>
    </row>
    <row r="78" spans="1:10" ht="18.75" x14ac:dyDescent="0.3">
      <c r="B78" s="5" t="s">
        <v>420</v>
      </c>
    </row>
    <row r="79" spans="1:10" ht="18.75" x14ac:dyDescent="0.3">
      <c r="B79" s="5"/>
    </row>
    <row r="80" spans="1:10" x14ac:dyDescent="0.25">
      <c r="A80" s="3" t="s">
        <v>163</v>
      </c>
      <c r="B80" s="3" t="s">
        <v>164</v>
      </c>
      <c r="C80" s="59" t="s">
        <v>405</v>
      </c>
      <c r="D80" s="13">
        <v>43831</v>
      </c>
      <c r="E80" s="13">
        <v>43862</v>
      </c>
      <c r="F80" s="13">
        <v>43891</v>
      </c>
      <c r="G80" s="13">
        <v>43922</v>
      </c>
      <c r="H80" s="13">
        <v>43952</v>
      </c>
      <c r="I80" s="13">
        <v>43983</v>
      </c>
      <c r="J80" s="1" t="s">
        <v>81</v>
      </c>
    </row>
    <row r="81" spans="1:10" x14ac:dyDescent="0.25">
      <c r="A81" s="38">
        <v>1</v>
      </c>
      <c r="B81" s="1" t="s">
        <v>199</v>
      </c>
      <c r="C81" s="14">
        <v>491500</v>
      </c>
      <c r="D81" s="1"/>
      <c r="E81" s="1"/>
      <c r="F81" s="1"/>
      <c r="G81" s="70"/>
      <c r="H81" s="1"/>
      <c r="I81" s="1"/>
      <c r="J81" s="70">
        <f>SUM(C81:I81)</f>
        <v>491500</v>
      </c>
    </row>
    <row r="82" spans="1:10" x14ac:dyDescent="0.25">
      <c r="A82" s="38"/>
      <c r="B82" s="1" t="s">
        <v>202</v>
      </c>
      <c r="C82" s="14">
        <v>105000</v>
      </c>
      <c r="D82" s="1"/>
      <c r="E82" s="1"/>
      <c r="F82" s="1"/>
      <c r="G82" s="70"/>
      <c r="H82" s="1"/>
      <c r="I82" s="1"/>
      <c r="J82" s="70">
        <f t="shared" ref="J82:J87" si="5">SUM(C82:I82)</f>
        <v>105000</v>
      </c>
    </row>
    <row r="83" spans="1:10" x14ac:dyDescent="0.25">
      <c r="A83" s="38">
        <v>2</v>
      </c>
      <c r="B83" s="1" t="s">
        <v>223</v>
      </c>
      <c r="C83" s="14">
        <v>1874900</v>
      </c>
      <c r="D83" s="1">
        <v>504000</v>
      </c>
      <c r="E83" s="1"/>
      <c r="F83" s="1"/>
      <c r="G83" s="70"/>
      <c r="H83" s="1"/>
      <c r="I83" s="1"/>
      <c r="J83" s="70">
        <f t="shared" si="5"/>
        <v>2378900</v>
      </c>
    </row>
    <row r="84" spans="1:10" x14ac:dyDescent="0.25">
      <c r="A84" s="38">
        <v>3</v>
      </c>
      <c r="B84" s="1" t="s">
        <v>222</v>
      </c>
      <c r="C84" s="14">
        <v>565000</v>
      </c>
      <c r="D84" s="1"/>
      <c r="E84" s="1"/>
      <c r="F84" s="1"/>
      <c r="G84" s="70"/>
      <c r="H84" s="1"/>
      <c r="I84" s="1"/>
      <c r="J84" s="70">
        <f t="shared" si="5"/>
        <v>565000</v>
      </c>
    </row>
    <row r="85" spans="1:10" x14ac:dyDescent="0.25">
      <c r="A85" s="38">
        <v>4</v>
      </c>
      <c r="B85" s="1" t="s">
        <v>231</v>
      </c>
      <c r="C85" s="14">
        <v>536000</v>
      </c>
      <c r="D85" s="1"/>
      <c r="E85" s="1"/>
      <c r="F85" s="1"/>
      <c r="G85" s="70"/>
      <c r="H85" s="1"/>
      <c r="I85" s="1"/>
      <c r="J85" s="70">
        <f t="shared" si="5"/>
        <v>536000</v>
      </c>
    </row>
    <row r="86" spans="1:10" x14ac:dyDescent="0.25">
      <c r="A86" s="38">
        <v>5</v>
      </c>
      <c r="B86" s="38" t="s">
        <v>241</v>
      </c>
      <c r="C86" s="27">
        <v>700000</v>
      </c>
      <c r="D86" s="1"/>
      <c r="E86" s="1"/>
      <c r="F86" s="1"/>
      <c r="G86" s="72"/>
      <c r="H86" s="1"/>
      <c r="I86" s="1"/>
      <c r="J86" s="70">
        <f t="shared" si="5"/>
        <v>700000</v>
      </c>
    </row>
    <row r="87" spans="1:10" x14ac:dyDescent="0.25">
      <c r="A87" s="38">
        <v>6</v>
      </c>
      <c r="B87" s="38" t="s">
        <v>309</v>
      </c>
      <c r="C87" s="27">
        <v>20000</v>
      </c>
      <c r="D87" s="1"/>
      <c r="E87" s="1"/>
      <c r="F87" s="1"/>
      <c r="G87" s="72"/>
      <c r="H87" s="1"/>
      <c r="I87" s="1"/>
      <c r="J87" s="70">
        <f t="shared" si="5"/>
        <v>20000</v>
      </c>
    </row>
    <row r="88" spans="1:10" x14ac:dyDescent="0.25">
      <c r="A88" s="1"/>
      <c r="B88" s="71" t="s">
        <v>138</v>
      </c>
      <c r="C88" s="15">
        <f>SUM(C81:C87)</f>
        <v>4292400</v>
      </c>
      <c r="D88" s="15">
        <f>SUM(D81:D86)</f>
        <v>504000</v>
      </c>
      <c r="E88" s="15">
        <f>SUM(E81:E87)</f>
        <v>0</v>
      </c>
      <c r="F88" s="15">
        <f>SUM(F81:F86)</f>
        <v>0</v>
      </c>
      <c r="G88" s="15">
        <f>SUM(G81:G86)</f>
        <v>0</v>
      </c>
      <c r="H88" s="1"/>
      <c r="I88" s="15">
        <f>SUM(I81:I87)</f>
        <v>0</v>
      </c>
      <c r="J88" s="15">
        <f>SUM(J81:J87)</f>
        <v>4796400</v>
      </c>
    </row>
    <row r="89" spans="1:10" x14ac:dyDescent="0.25">
      <c r="A89" s="22"/>
      <c r="B89" s="85"/>
      <c r="C89" s="86"/>
      <c r="D89" s="86"/>
      <c r="E89" s="86"/>
      <c r="F89" s="86"/>
      <c r="G89" s="86"/>
      <c r="H89" s="22"/>
      <c r="I89" s="22"/>
      <c r="J89" s="86"/>
    </row>
    <row r="90" spans="1:10" x14ac:dyDescent="0.25">
      <c r="A90" s="22"/>
      <c r="B90" s="85"/>
      <c r="C90" s="86"/>
      <c r="D90" s="86"/>
      <c r="E90" s="86"/>
      <c r="F90" s="86"/>
      <c r="G90" s="86"/>
      <c r="H90" s="22"/>
      <c r="I90" s="22"/>
      <c r="J90" s="86"/>
    </row>
    <row r="91" spans="1:10" ht="18.75" x14ac:dyDescent="0.3">
      <c r="B91" s="5" t="s">
        <v>80</v>
      </c>
    </row>
    <row r="92" spans="1:10" ht="18.75" x14ac:dyDescent="0.3">
      <c r="B92" s="5" t="s">
        <v>64</v>
      </c>
    </row>
    <row r="93" spans="1:10" ht="18.75" x14ac:dyDescent="0.3">
      <c r="B93" s="5" t="s">
        <v>272</v>
      </c>
    </row>
    <row r="94" spans="1:10" ht="18.75" x14ac:dyDescent="0.3">
      <c r="B94" s="5" t="s">
        <v>420</v>
      </c>
    </row>
    <row r="95" spans="1:10" ht="18.75" x14ac:dyDescent="0.3">
      <c r="B95" s="5"/>
    </row>
    <row r="96" spans="1:10" x14ac:dyDescent="0.25">
      <c r="A96" s="3" t="s">
        <v>163</v>
      </c>
      <c r="B96" s="3" t="s">
        <v>164</v>
      </c>
      <c r="C96" s="59" t="s">
        <v>405</v>
      </c>
      <c r="D96" s="13">
        <v>43831</v>
      </c>
      <c r="E96" s="13">
        <v>43862</v>
      </c>
      <c r="F96" s="13">
        <v>43891</v>
      </c>
      <c r="G96" s="13">
        <v>43922</v>
      </c>
      <c r="H96" s="13">
        <v>43952</v>
      </c>
      <c r="I96" s="13">
        <v>43983</v>
      </c>
      <c r="J96" s="1" t="s">
        <v>81</v>
      </c>
    </row>
    <row r="97" spans="1:10" x14ac:dyDescent="0.25">
      <c r="A97" s="38">
        <v>1</v>
      </c>
      <c r="B97" s="1" t="s">
        <v>199</v>
      </c>
      <c r="C97" s="14"/>
      <c r="D97" s="1"/>
      <c r="E97" s="1"/>
      <c r="F97" s="1"/>
      <c r="G97" s="70"/>
      <c r="H97" s="1"/>
      <c r="I97" s="1"/>
      <c r="J97" s="70">
        <f>SUM(C97:I97)</f>
        <v>0</v>
      </c>
    </row>
    <row r="98" spans="1:10" x14ac:dyDescent="0.25">
      <c r="A98" s="38"/>
      <c r="B98" s="1" t="s">
        <v>202</v>
      </c>
      <c r="C98" s="14">
        <v>0</v>
      </c>
      <c r="D98" s="1"/>
      <c r="E98" s="1"/>
      <c r="F98" s="1"/>
      <c r="G98" s="70"/>
      <c r="H98" s="1"/>
      <c r="I98" s="1"/>
      <c r="J98" s="70">
        <f t="shared" ref="J98:J103" si="6">SUM(C98:I98)</f>
        <v>0</v>
      </c>
    </row>
    <row r="99" spans="1:10" x14ac:dyDescent="0.25">
      <c r="A99" s="38">
        <v>2</v>
      </c>
      <c r="B99" s="1" t="s">
        <v>223</v>
      </c>
      <c r="C99" s="14">
        <v>2378900</v>
      </c>
      <c r="D99" s="1"/>
      <c r="E99" s="1"/>
      <c r="F99" s="1"/>
      <c r="G99" s="70"/>
      <c r="H99" s="1"/>
      <c r="I99" s="1"/>
      <c r="J99" s="70">
        <f t="shared" si="6"/>
        <v>2378900</v>
      </c>
    </row>
    <row r="100" spans="1:10" x14ac:dyDescent="0.25">
      <c r="A100" s="38">
        <v>3</v>
      </c>
      <c r="B100" s="1" t="s">
        <v>222</v>
      </c>
      <c r="C100" s="14">
        <v>565000</v>
      </c>
      <c r="D100" s="1"/>
      <c r="E100" s="1"/>
      <c r="F100" s="1"/>
      <c r="G100" s="70"/>
      <c r="H100" s="1"/>
      <c r="I100" s="1"/>
      <c r="J100" s="70">
        <f t="shared" si="6"/>
        <v>565000</v>
      </c>
    </row>
    <row r="101" spans="1:10" x14ac:dyDescent="0.25">
      <c r="A101" s="38">
        <v>4</v>
      </c>
      <c r="B101" s="1" t="s">
        <v>231</v>
      </c>
      <c r="C101" s="14">
        <v>536000</v>
      </c>
      <c r="D101" s="1"/>
      <c r="E101" s="1"/>
      <c r="F101" s="1"/>
      <c r="G101" s="70"/>
      <c r="H101" s="1"/>
      <c r="I101" s="1"/>
      <c r="J101" s="70">
        <f t="shared" si="6"/>
        <v>536000</v>
      </c>
    </row>
    <row r="102" spans="1:10" x14ac:dyDescent="0.25">
      <c r="A102" s="38">
        <v>5</v>
      </c>
      <c r="B102" s="38" t="s">
        <v>241</v>
      </c>
      <c r="C102" s="27">
        <v>700000</v>
      </c>
      <c r="D102" s="70"/>
      <c r="E102" s="1"/>
      <c r="F102" s="1"/>
      <c r="G102" s="72"/>
      <c r="H102" s="1"/>
      <c r="I102" s="1"/>
      <c r="J102" s="70">
        <f t="shared" si="6"/>
        <v>700000</v>
      </c>
    </row>
    <row r="103" spans="1:10" x14ac:dyDescent="0.25">
      <c r="A103" s="38">
        <v>6</v>
      </c>
      <c r="B103" s="38" t="s">
        <v>309</v>
      </c>
      <c r="C103" s="27">
        <v>20000</v>
      </c>
      <c r="D103" s="70"/>
      <c r="E103" s="1"/>
      <c r="F103" s="1"/>
      <c r="G103" s="72"/>
      <c r="H103" s="1"/>
      <c r="I103" s="1"/>
      <c r="J103" s="70">
        <f t="shared" si="6"/>
        <v>20000</v>
      </c>
    </row>
    <row r="104" spans="1:10" x14ac:dyDescent="0.25">
      <c r="A104" s="1"/>
      <c r="B104" s="71" t="s">
        <v>138</v>
      </c>
      <c r="C104" s="70">
        <f>SUM(C97:C103)</f>
        <v>4199900</v>
      </c>
      <c r="D104" s="15">
        <f>SUM(D97:D103)</f>
        <v>0</v>
      </c>
      <c r="E104" s="15">
        <f>SUM(E97:E102)</f>
        <v>0</v>
      </c>
      <c r="F104" s="15">
        <f>SUM(F97:F102)</f>
        <v>0</v>
      </c>
      <c r="G104" s="15">
        <f>SUM(G97:G102)</f>
        <v>0</v>
      </c>
      <c r="H104" s="15">
        <f>SUM(H97:H102)</f>
        <v>0</v>
      </c>
      <c r="I104" s="15">
        <f>SUM(I97:I102)</f>
        <v>0</v>
      </c>
      <c r="J104" s="70">
        <f>SUM(J97:J103)</f>
        <v>4199900</v>
      </c>
    </row>
    <row r="110" spans="1:10" ht="18.75" x14ac:dyDescent="0.3">
      <c r="B110" s="5" t="s">
        <v>80</v>
      </c>
    </row>
    <row r="111" spans="1:10" ht="18.75" x14ac:dyDescent="0.3">
      <c r="B111" s="5" t="s">
        <v>64</v>
      </c>
    </row>
    <row r="112" spans="1:10" ht="18.75" x14ac:dyDescent="0.3">
      <c r="B112" s="5" t="s">
        <v>279</v>
      </c>
    </row>
    <row r="113" spans="1:10" ht="18.75" x14ac:dyDescent="0.3">
      <c r="B113" s="5" t="s">
        <v>420</v>
      </c>
    </row>
    <row r="115" spans="1:10" x14ac:dyDescent="0.25">
      <c r="A115" s="3" t="s">
        <v>163</v>
      </c>
      <c r="B115" s="3" t="s">
        <v>164</v>
      </c>
      <c r="C115" s="59" t="s">
        <v>281</v>
      </c>
      <c r="D115" s="13" t="s">
        <v>280</v>
      </c>
      <c r="E115" s="13" t="s">
        <v>280</v>
      </c>
      <c r="F115" s="13" t="s">
        <v>280</v>
      </c>
      <c r="G115" s="13" t="s">
        <v>280</v>
      </c>
      <c r="H115" s="13" t="s">
        <v>280</v>
      </c>
      <c r="I115" s="13" t="s">
        <v>280</v>
      </c>
      <c r="J115" s="3" t="s">
        <v>166</v>
      </c>
    </row>
    <row r="116" spans="1:10" x14ac:dyDescent="0.25">
      <c r="A116" s="38">
        <v>1</v>
      </c>
      <c r="B116" s="1" t="s">
        <v>199</v>
      </c>
      <c r="C116" s="14">
        <v>491500</v>
      </c>
      <c r="D116" s="1"/>
      <c r="E116" s="1"/>
      <c r="F116" s="1"/>
      <c r="G116" s="70"/>
      <c r="H116" s="1"/>
      <c r="I116" s="1"/>
      <c r="J116" s="70">
        <f>C116-D116-E116-F116-G116-H116-I116</f>
        <v>491500</v>
      </c>
    </row>
    <row r="117" spans="1:10" x14ac:dyDescent="0.25">
      <c r="A117" s="38"/>
      <c r="B117" s="1" t="s">
        <v>202</v>
      </c>
      <c r="C117" s="14">
        <v>105000</v>
      </c>
      <c r="D117" s="1"/>
      <c r="E117" s="1"/>
      <c r="F117" s="1"/>
      <c r="G117" s="70"/>
      <c r="H117" s="1"/>
      <c r="I117" s="1"/>
      <c r="J117" s="70">
        <f t="shared" ref="J117:J122" si="7">C117-D117-E117-F117-G117-H117-I117</f>
        <v>105000</v>
      </c>
    </row>
    <row r="118" spans="1:10" x14ac:dyDescent="0.25">
      <c r="A118" s="38">
        <v>2</v>
      </c>
      <c r="B118" s="1" t="s">
        <v>223</v>
      </c>
      <c r="C118" s="14">
        <v>2378900</v>
      </c>
      <c r="D118" s="1">
        <v>2378900</v>
      </c>
      <c r="E118" s="1"/>
      <c r="F118" s="1"/>
      <c r="G118" s="70"/>
      <c r="H118" s="1"/>
      <c r="I118" s="1"/>
      <c r="J118" s="70">
        <f t="shared" si="7"/>
        <v>0</v>
      </c>
    </row>
    <row r="119" spans="1:10" x14ac:dyDescent="0.25">
      <c r="A119" s="38">
        <v>3</v>
      </c>
      <c r="B119" s="1" t="s">
        <v>222</v>
      </c>
      <c r="C119" s="14">
        <v>565000</v>
      </c>
      <c r="D119" s="1">
        <v>565000</v>
      </c>
      <c r="E119" s="1"/>
      <c r="F119" s="1"/>
      <c r="G119" s="70"/>
      <c r="H119" s="1"/>
      <c r="I119" s="1"/>
      <c r="J119" s="70">
        <f t="shared" si="7"/>
        <v>0</v>
      </c>
    </row>
    <row r="120" spans="1:10" x14ac:dyDescent="0.25">
      <c r="A120" s="38">
        <v>4</v>
      </c>
      <c r="B120" s="1" t="s">
        <v>231</v>
      </c>
      <c r="C120" s="14">
        <v>536000</v>
      </c>
      <c r="D120" s="1">
        <v>536000</v>
      </c>
      <c r="E120" s="1"/>
      <c r="F120" s="1"/>
      <c r="G120" s="70"/>
      <c r="H120" s="1"/>
      <c r="I120" s="1"/>
      <c r="J120" s="70">
        <f t="shared" si="7"/>
        <v>0</v>
      </c>
    </row>
    <row r="121" spans="1:10" x14ac:dyDescent="0.25">
      <c r="A121" s="38">
        <v>5</v>
      </c>
      <c r="B121" s="38" t="s">
        <v>241</v>
      </c>
      <c r="C121" s="27">
        <v>700000</v>
      </c>
      <c r="D121" s="1">
        <v>700000</v>
      </c>
      <c r="E121" s="1"/>
      <c r="F121" s="1"/>
      <c r="G121" s="72"/>
      <c r="H121" s="1"/>
      <c r="I121" s="1"/>
      <c r="J121" s="70">
        <f t="shared" si="7"/>
        <v>0</v>
      </c>
    </row>
    <row r="122" spans="1:10" x14ac:dyDescent="0.25">
      <c r="A122" s="38">
        <v>6</v>
      </c>
      <c r="B122" s="38" t="s">
        <v>309</v>
      </c>
      <c r="C122" s="27">
        <v>20000</v>
      </c>
      <c r="D122" s="1">
        <v>20000</v>
      </c>
      <c r="E122" s="1"/>
      <c r="F122" s="1"/>
      <c r="G122" s="72"/>
      <c r="H122" s="1"/>
      <c r="I122" s="1">
        <v>0</v>
      </c>
      <c r="J122" s="70">
        <f t="shared" si="7"/>
        <v>0</v>
      </c>
    </row>
    <row r="123" spans="1:10" x14ac:dyDescent="0.25">
      <c r="A123" s="1"/>
      <c r="B123" s="71" t="s">
        <v>138</v>
      </c>
      <c r="C123" s="15">
        <f>SUM(C116:C122)</f>
        <v>4796400</v>
      </c>
      <c r="D123" s="15">
        <f>SUM(D116:D122)</f>
        <v>4199900</v>
      </c>
      <c r="E123" s="15">
        <f>SUM(E116:E122)</f>
        <v>0</v>
      </c>
      <c r="F123" s="15">
        <f>SUM(F116:F121)</f>
        <v>0</v>
      </c>
      <c r="G123" s="15">
        <f>SUM(G116:G121)</f>
        <v>0</v>
      </c>
      <c r="H123" s="1">
        <f>SUM(H116:H122)</f>
        <v>0</v>
      </c>
      <c r="I123" s="1">
        <f>SUM(I116:I122)</f>
        <v>0</v>
      </c>
      <c r="J123" s="15">
        <f>SUM(J116:J122)</f>
        <v>596500</v>
      </c>
    </row>
    <row r="125" spans="1:10" ht="18.75" x14ac:dyDescent="0.3">
      <c r="B125" s="5" t="s">
        <v>377</v>
      </c>
    </row>
    <row r="126" spans="1:10" ht="18.75" x14ac:dyDescent="0.3">
      <c r="B126" s="5" t="s">
        <v>64</v>
      </c>
    </row>
    <row r="127" spans="1:10" ht="18.75" x14ac:dyDescent="0.3">
      <c r="B127" s="5" t="s">
        <v>420</v>
      </c>
    </row>
    <row r="128" spans="1:10" x14ac:dyDescent="0.25">
      <c r="A128" s="3" t="s">
        <v>163</v>
      </c>
      <c r="B128" s="3" t="s">
        <v>164</v>
      </c>
      <c r="C128" s="59" t="s">
        <v>405</v>
      </c>
      <c r="D128" s="13">
        <v>43831</v>
      </c>
      <c r="E128" s="13">
        <v>43862</v>
      </c>
      <c r="F128" s="13">
        <v>43891</v>
      </c>
      <c r="G128" s="13">
        <v>43922</v>
      </c>
      <c r="H128" s="13">
        <v>43952</v>
      </c>
      <c r="I128" s="13">
        <v>43983</v>
      </c>
      <c r="J128" s="1" t="s">
        <v>81</v>
      </c>
    </row>
    <row r="129" spans="1:10" x14ac:dyDescent="0.25">
      <c r="A129" s="38">
        <v>1</v>
      </c>
      <c r="B129" s="59" t="s">
        <v>360</v>
      </c>
      <c r="C129" s="14">
        <v>30000</v>
      </c>
      <c r="D129" s="14">
        <v>0</v>
      </c>
      <c r="E129" s="1"/>
      <c r="F129" s="1"/>
      <c r="G129" s="70"/>
      <c r="H129" s="1"/>
      <c r="I129" s="1"/>
      <c r="J129" s="70">
        <f t="shared" ref="J129:J135" si="8">SUM(C129:I129)</f>
        <v>30000</v>
      </c>
    </row>
    <row r="130" spans="1:10" x14ac:dyDescent="0.25">
      <c r="A130" s="38"/>
      <c r="B130" s="1"/>
      <c r="C130" s="14"/>
      <c r="D130" s="1"/>
      <c r="E130" s="1"/>
      <c r="F130" s="1"/>
      <c r="G130" s="70"/>
      <c r="H130" s="1"/>
      <c r="I130" s="1"/>
      <c r="J130" s="70">
        <f t="shared" si="8"/>
        <v>0</v>
      </c>
    </row>
    <row r="131" spans="1:10" x14ac:dyDescent="0.25">
      <c r="A131" s="38"/>
      <c r="B131" s="1"/>
      <c r="C131" s="14"/>
      <c r="D131" s="1"/>
      <c r="E131" s="1"/>
      <c r="F131" s="1"/>
      <c r="G131" s="70"/>
      <c r="H131" s="1"/>
      <c r="I131" s="1"/>
      <c r="J131" s="70">
        <f t="shared" si="8"/>
        <v>0</v>
      </c>
    </row>
    <row r="132" spans="1:10" x14ac:dyDescent="0.25">
      <c r="A132" s="38"/>
      <c r="B132" s="1"/>
      <c r="C132" s="14"/>
      <c r="D132" s="1"/>
      <c r="E132" s="1"/>
      <c r="F132" s="1"/>
      <c r="G132" s="70"/>
      <c r="H132" s="1"/>
      <c r="I132" s="1"/>
      <c r="J132" s="70">
        <f t="shared" si="8"/>
        <v>0</v>
      </c>
    </row>
    <row r="133" spans="1:10" x14ac:dyDescent="0.25">
      <c r="A133" s="38"/>
      <c r="B133" s="1"/>
      <c r="C133" s="14"/>
      <c r="D133" s="1"/>
      <c r="E133" s="1"/>
      <c r="F133" s="1"/>
      <c r="G133" s="70"/>
      <c r="H133" s="1"/>
      <c r="I133" s="1"/>
      <c r="J133" s="70">
        <f t="shared" si="8"/>
        <v>0</v>
      </c>
    </row>
    <row r="134" spans="1:10" x14ac:dyDescent="0.25">
      <c r="A134" s="38"/>
      <c r="B134" s="38"/>
      <c r="C134" s="27"/>
      <c r="D134" s="1"/>
      <c r="E134" s="1"/>
      <c r="F134" s="1"/>
      <c r="G134" s="72"/>
      <c r="H134" s="1"/>
      <c r="I134" s="1"/>
      <c r="J134" s="70">
        <f t="shared" si="8"/>
        <v>0</v>
      </c>
    </row>
    <row r="135" spans="1:10" x14ac:dyDescent="0.25">
      <c r="A135" s="38"/>
      <c r="B135" s="38"/>
      <c r="C135" s="27"/>
      <c r="D135" s="1"/>
      <c r="E135" s="1"/>
      <c r="F135" s="1"/>
      <c r="G135" s="72"/>
      <c r="H135" s="1"/>
      <c r="I135" s="1"/>
      <c r="J135" s="70">
        <f t="shared" si="8"/>
        <v>0</v>
      </c>
    </row>
    <row r="136" spans="1:10" x14ac:dyDescent="0.25">
      <c r="A136" s="1"/>
      <c r="B136" s="71" t="s">
        <v>138</v>
      </c>
      <c r="C136" s="15">
        <f>SUM(C129:C135)</f>
        <v>30000</v>
      </c>
      <c r="D136" s="15">
        <f>SUM(D129:D135)</f>
        <v>0</v>
      </c>
      <c r="E136" s="15">
        <f>SUM(E129:E134)</f>
        <v>0</v>
      </c>
      <c r="F136" s="15">
        <f>SUM(F129:F134)</f>
        <v>0</v>
      </c>
      <c r="G136" s="15">
        <f>SUM(G129:G134)</f>
        <v>0</v>
      </c>
      <c r="H136" s="1">
        <f>SUM(H129:H135)</f>
        <v>0</v>
      </c>
      <c r="I136" s="1">
        <f>SUM(I129:I135)</f>
        <v>0</v>
      </c>
      <c r="J136" s="15">
        <f>SUM(J129:J135)</f>
        <v>30000</v>
      </c>
    </row>
    <row r="141" spans="1:10" x14ac:dyDescent="0.25">
      <c r="A141" s="95"/>
      <c r="B141" s="12" t="s">
        <v>80</v>
      </c>
    </row>
    <row r="142" spans="1:10" x14ac:dyDescent="0.25">
      <c r="A142" s="95"/>
      <c r="B142" s="12" t="s">
        <v>64</v>
      </c>
    </row>
    <row r="143" spans="1:10" x14ac:dyDescent="0.25">
      <c r="A143" s="95"/>
      <c r="B143" s="12" t="s">
        <v>162</v>
      </c>
    </row>
    <row r="144" spans="1:10" x14ac:dyDescent="0.25">
      <c r="A144" s="95"/>
      <c r="B144" s="12" t="s">
        <v>421</v>
      </c>
    </row>
    <row r="145" spans="1:10" x14ac:dyDescent="0.25">
      <c r="A145" s="95"/>
      <c r="B145" s="12"/>
    </row>
    <row r="146" spans="1:10" x14ac:dyDescent="0.25">
      <c r="A146" s="3" t="s">
        <v>163</v>
      </c>
      <c r="B146" s="3" t="s">
        <v>164</v>
      </c>
      <c r="C146" s="59" t="s">
        <v>405</v>
      </c>
      <c r="D146" s="13">
        <v>43831</v>
      </c>
      <c r="E146" s="13">
        <v>43862</v>
      </c>
      <c r="F146" s="13">
        <v>43891</v>
      </c>
      <c r="G146" s="13">
        <v>43922</v>
      </c>
      <c r="H146" s="13">
        <v>43952</v>
      </c>
      <c r="I146" s="13">
        <v>43983</v>
      </c>
      <c r="J146" s="1" t="s">
        <v>81</v>
      </c>
    </row>
    <row r="147" spans="1:10" x14ac:dyDescent="0.25">
      <c r="A147" s="1">
        <v>1</v>
      </c>
      <c r="B147" s="1" t="s">
        <v>167</v>
      </c>
      <c r="C147" s="27">
        <v>1500000</v>
      </c>
      <c r="D147" s="27">
        <v>100000</v>
      </c>
      <c r="E147" s="27">
        <v>0</v>
      </c>
      <c r="F147" s="27">
        <v>0</v>
      </c>
      <c r="G147" s="27">
        <v>0</v>
      </c>
      <c r="H147" s="38"/>
      <c r="I147" s="38"/>
      <c r="J147" s="72">
        <f>SUM(C147:I147)</f>
        <v>1600000</v>
      </c>
    </row>
    <row r="148" spans="1:10" x14ac:dyDescent="0.25">
      <c r="A148" s="1">
        <v>2</v>
      </c>
      <c r="B148" s="1" t="s">
        <v>168</v>
      </c>
      <c r="C148" s="27">
        <v>522000</v>
      </c>
      <c r="D148" s="27">
        <v>0</v>
      </c>
      <c r="E148" s="27">
        <v>0</v>
      </c>
      <c r="F148" s="27">
        <v>0</v>
      </c>
      <c r="G148" s="27">
        <v>0</v>
      </c>
      <c r="H148" s="38"/>
      <c r="I148" s="38"/>
      <c r="J148" s="72">
        <f t="shared" ref="J148:J195" si="9">SUM(C148:I148)</f>
        <v>522000</v>
      </c>
    </row>
    <row r="149" spans="1:10" x14ac:dyDescent="0.25">
      <c r="A149" s="1">
        <v>3</v>
      </c>
      <c r="B149" s="1" t="s">
        <v>169</v>
      </c>
      <c r="C149" s="27">
        <v>1305000</v>
      </c>
      <c r="D149" s="27">
        <v>0</v>
      </c>
      <c r="E149" s="27">
        <v>30000</v>
      </c>
      <c r="F149" s="27">
        <v>30000</v>
      </c>
      <c r="G149" s="27">
        <v>0</v>
      </c>
      <c r="H149" s="38"/>
      <c r="I149" s="38"/>
      <c r="J149" s="72">
        <f t="shared" si="9"/>
        <v>1365000</v>
      </c>
    </row>
    <row r="150" spans="1:10" x14ac:dyDescent="0.25">
      <c r="A150" s="1">
        <v>4</v>
      </c>
      <c r="B150" s="1" t="s">
        <v>170</v>
      </c>
      <c r="C150" s="27">
        <v>570000</v>
      </c>
      <c r="D150" s="27">
        <v>0</v>
      </c>
      <c r="E150" s="27">
        <v>0</v>
      </c>
      <c r="F150" s="27">
        <v>0</v>
      </c>
      <c r="G150" s="27">
        <v>0</v>
      </c>
      <c r="H150" s="38"/>
      <c r="I150" s="38"/>
      <c r="J150" s="72">
        <f t="shared" si="9"/>
        <v>570000</v>
      </c>
    </row>
    <row r="151" spans="1:10" x14ac:dyDescent="0.25">
      <c r="A151" s="1">
        <v>5</v>
      </c>
      <c r="B151" s="1" t="s">
        <v>171</v>
      </c>
      <c r="C151" s="27">
        <v>1452500</v>
      </c>
      <c r="D151" s="27">
        <v>13000</v>
      </c>
      <c r="E151" s="27">
        <v>35000</v>
      </c>
      <c r="F151" s="27">
        <v>20000</v>
      </c>
      <c r="G151" s="27">
        <v>0</v>
      </c>
      <c r="H151" s="38"/>
      <c r="I151" s="38"/>
      <c r="J151" s="72">
        <f t="shared" si="9"/>
        <v>1520500</v>
      </c>
    </row>
    <row r="152" spans="1:10" x14ac:dyDescent="0.25">
      <c r="A152" s="1">
        <v>6</v>
      </c>
      <c r="B152" s="1" t="s">
        <v>174</v>
      </c>
      <c r="C152" s="27">
        <v>1180000</v>
      </c>
      <c r="D152" s="27">
        <v>0</v>
      </c>
      <c r="E152" s="27">
        <v>0</v>
      </c>
      <c r="F152" s="27">
        <v>0</v>
      </c>
      <c r="G152" s="27">
        <v>0</v>
      </c>
      <c r="H152" s="38"/>
      <c r="I152" s="38"/>
      <c r="J152" s="72">
        <f t="shared" si="9"/>
        <v>1180000</v>
      </c>
    </row>
    <row r="153" spans="1:10" x14ac:dyDescent="0.25">
      <c r="A153" s="1">
        <v>7</v>
      </c>
      <c r="B153" s="1" t="s">
        <v>172</v>
      </c>
      <c r="C153" s="27">
        <v>1300000</v>
      </c>
      <c r="D153" s="27">
        <v>0</v>
      </c>
      <c r="E153" s="27">
        <v>150000</v>
      </c>
      <c r="F153" s="27">
        <v>50000</v>
      </c>
      <c r="G153" s="27">
        <v>20000</v>
      </c>
      <c r="H153" s="38"/>
      <c r="I153" s="38"/>
      <c r="J153" s="72">
        <f t="shared" si="9"/>
        <v>1520000</v>
      </c>
    </row>
    <row r="154" spans="1:10" x14ac:dyDescent="0.25">
      <c r="A154" s="1">
        <v>8</v>
      </c>
      <c r="B154" s="1" t="s">
        <v>173</v>
      </c>
      <c r="C154" s="27">
        <v>1200000</v>
      </c>
      <c r="D154" s="27">
        <v>0</v>
      </c>
      <c r="E154" s="27">
        <v>0</v>
      </c>
      <c r="F154" s="27">
        <v>0</v>
      </c>
      <c r="G154" s="27">
        <v>0</v>
      </c>
      <c r="H154" s="38"/>
      <c r="I154" s="38"/>
      <c r="J154" s="72">
        <f t="shared" si="9"/>
        <v>1200000</v>
      </c>
    </row>
    <row r="155" spans="1:10" x14ac:dyDescent="0.25">
      <c r="A155" s="90">
        <v>9</v>
      </c>
      <c r="B155" s="38" t="s">
        <v>176</v>
      </c>
      <c r="C155" s="27">
        <v>650000</v>
      </c>
      <c r="D155" s="27">
        <v>0</v>
      </c>
      <c r="E155" s="27">
        <v>0</v>
      </c>
      <c r="F155" s="27">
        <v>0</v>
      </c>
      <c r="G155" s="27">
        <v>0</v>
      </c>
      <c r="H155" s="38"/>
      <c r="I155" s="38"/>
      <c r="J155" s="72">
        <f t="shared" si="9"/>
        <v>650000</v>
      </c>
    </row>
    <row r="156" spans="1:10" x14ac:dyDescent="0.25">
      <c r="A156" s="1">
        <v>10</v>
      </c>
      <c r="B156" s="1" t="s">
        <v>177</v>
      </c>
      <c r="C156" s="27">
        <v>530000</v>
      </c>
      <c r="D156" s="27">
        <v>0</v>
      </c>
      <c r="E156" s="27">
        <v>0</v>
      </c>
      <c r="F156" s="27">
        <v>0</v>
      </c>
      <c r="G156" s="27">
        <v>0</v>
      </c>
      <c r="H156" s="38"/>
      <c r="I156" s="38"/>
      <c r="J156" s="72">
        <f t="shared" si="9"/>
        <v>530000</v>
      </c>
    </row>
    <row r="157" spans="1:10" x14ac:dyDescent="0.25">
      <c r="A157" s="1">
        <v>11</v>
      </c>
      <c r="B157" s="1" t="s">
        <v>178</v>
      </c>
      <c r="C157" s="27">
        <v>1370000</v>
      </c>
      <c r="D157" s="27">
        <v>0</v>
      </c>
      <c r="E157" s="27">
        <v>0</v>
      </c>
      <c r="F157" s="27">
        <v>0</v>
      </c>
      <c r="G157" s="27">
        <v>0</v>
      </c>
      <c r="H157" s="38"/>
      <c r="I157" s="38"/>
      <c r="J157" s="72">
        <f t="shared" si="9"/>
        <v>1370000</v>
      </c>
    </row>
    <row r="158" spans="1:10" x14ac:dyDescent="0.25">
      <c r="A158" s="1">
        <v>12</v>
      </c>
      <c r="B158" s="1" t="s">
        <v>179</v>
      </c>
      <c r="C158" s="27">
        <v>570000</v>
      </c>
      <c r="D158" s="27">
        <v>0</v>
      </c>
      <c r="E158" s="27">
        <v>0</v>
      </c>
      <c r="F158" s="27">
        <v>0</v>
      </c>
      <c r="G158" s="27">
        <v>0</v>
      </c>
      <c r="H158" s="38"/>
      <c r="I158" s="38"/>
      <c r="J158" s="72">
        <f t="shared" si="9"/>
        <v>570000</v>
      </c>
    </row>
    <row r="159" spans="1:10" x14ac:dyDescent="0.25">
      <c r="A159" s="1">
        <v>13</v>
      </c>
      <c r="B159" s="1" t="s">
        <v>180</v>
      </c>
      <c r="C159" s="27">
        <v>1430000</v>
      </c>
      <c r="D159" s="27">
        <v>0</v>
      </c>
      <c r="E159" s="27">
        <v>20000</v>
      </c>
      <c r="F159" s="27">
        <v>0</v>
      </c>
      <c r="G159" s="27">
        <v>0</v>
      </c>
      <c r="H159" s="38"/>
      <c r="I159" s="38"/>
      <c r="J159" s="72">
        <f t="shared" si="9"/>
        <v>1450000</v>
      </c>
    </row>
    <row r="160" spans="1:10" x14ac:dyDescent="0.25">
      <c r="A160" s="1">
        <v>14</v>
      </c>
      <c r="B160" s="1" t="s">
        <v>181</v>
      </c>
      <c r="C160" s="27">
        <v>2138000</v>
      </c>
      <c r="D160" s="27">
        <v>25000</v>
      </c>
      <c r="E160" s="27">
        <v>20000</v>
      </c>
      <c r="F160" s="27">
        <v>20000</v>
      </c>
      <c r="G160" s="27">
        <v>0</v>
      </c>
      <c r="H160" s="38"/>
      <c r="I160" s="38"/>
      <c r="J160" s="72">
        <f t="shared" si="9"/>
        <v>2203000</v>
      </c>
    </row>
    <row r="161" spans="1:10" x14ac:dyDescent="0.25">
      <c r="A161" s="1">
        <v>15</v>
      </c>
      <c r="B161" s="1" t="s">
        <v>182</v>
      </c>
      <c r="C161" s="27">
        <v>642000</v>
      </c>
      <c r="D161" s="27">
        <v>15000</v>
      </c>
      <c r="E161" s="27">
        <v>70000</v>
      </c>
      <c r="F161" s="27">
        <v>25000</v>
      </c>
      <c r="G161" s="27">
        <v>0</v>
      </c>
      <c r="H161" s="38"/>
      <c r="I161" s="38"/>
      <c r="J161" s="72">
        <f t="shared" si="9"/>
        <v>752000</v>
      </c>
    </row>
    <row r="162" spans="1:10" x14ac:dyDescent="0.25">
      <c r="A162" s="1">
        <v>16</v>
      </c>
      <c r="B162" s="1" t="s">
        <v>183</v>
      </c>
      <c r="C162" s="27">
        <v>565000</v>
      </c>
      <c r="D162" s="27">
        <v>0</v>
      </c>
      <c r="E162" s="27">
        <v>0</v>
      </c>
      <c r="F162" s="27">
        <v>0</v>
      </c>
      <c r="G162" s="27">
        <v>0</v>
      </c>
      <c r="H162" s="38">
        <v>0</v>
      </c>
      <c r="I162" s="38"/>
      <c r="J162" s="72">
        <f t="shared" si="9"/>
        <v>565000</v>
      </c>
    </row>
    <row r="163" spans="1:10" x14ac:dyDescent="0.25">
      <c r="A163" s="1">
        <v>17</v>
      </c>
      <c r="B163" s="1" t="s">
        <v>184</v>
      </c>
      <c r="C163" s="27">
        <v>1266400</v>
      </c>
      <c r="D163" s="27">
        <v>0</v>
      </c>
      <c r="E163" s="27">
        <v>0</v>
      </c>
      <c r="F163" s="27">
        <v>200000</v>
      </c>
      <c r="G163" s="27">
        <v>0</v>
      </c>
      <c r="H163" s="38"/>
      <c r="I163" s="38"/>
      <c r="J163" s="72">
        <f t="shared" si="9"/>
        <v>1466400</v>
      </c>
    </row>
    <row r="164" spans="1:10" x14ac:dyDescent="0.25">
      <c r="A164" s="1">
        <v>18</v>
      </c>
      <c r="B164" s="1" t="s">
        <v>185</v>
      </c>
      <c r="C164" s="27">
        <v>1600000</v>
      </c>
      <c r="D164" s="27">
        <v>0</v>
      </c>
      <c r="E164" s="27">
        <v>0</v>
      </c>
      <c r="F164" s="27">
        <v>0</v>
      </c>
      <c r="G164" s="27">
        <v>0</v>
      </c>
      <c r="H164" s="38"/>
      <c r="I164" s="38"/>
      <c r="J164" s="72">
        <f t="shared" si="9"/>
        <v>1600000</v>
      </c>
    </row>
    <row r="165" spans="1:10" x14ac:dyDescent="0.25">
      <c r="A165" s="1">
        <v>19</v>
      </c>
      <c r="B165" s="1" t="s">
        <v>186</v>
      </c>
      <c r="C165" s="27">
        <v>500000</v>
      </c>
      <c r="D165" s="27">
        <v>0</v>
      </c>
      <c r="E165" s="27">
        <v>0</v>
      </c>
      <c r="F165" s="27">
        <v>0</v>
      </c>
      <c r="G165" s="27">
        <v>0</v>
      </c>
      <c r="H165" s="38">
        <v>0</v>
      </c>
      <c r="I165" s="38">
        <v>0</v>
      </c>
      <c r="J165" s="72">
        <f t="shared" si="9"/>
        <v>500000</v>
      </c>
    </row>
    <row r="166" spans="1:10" x14ac:dyDescent="0.25">
      <c r="A166" s="1">
        <v>20</v>
      </c>
      <c r="B166" s="1" t="s">
        <v>187</v>
      </c>
      <c r="C166" s="27">
        <v>500000</v>
      </c>
      <c r="D166" s="27">
        <v>0</v>
      </c>
      <c r="E166" s="27">
        <v>0</v>
      </c>
      <c r="F166" s="27">
        <v>0</v>
      </c>
      <c r="G166" s="27">
        <v>0</v>
      </c>
      <c r="H166" s="38">
        <v>0</v>
      </c>
      <c r="I166" s="38">
        <v>0</v>
      </c>
      <c r="J166" s="72">
        <f t="shared" si="9"/>
        <v>500000</v>
      </c>
    </row>
    <row r="167" spans="1:10" x14ac:dyDescent="0.25">
      <c r="A167" s="38">
        <v>21</v>
      </c>
      <c r="B167" s="38" t="s">
        <v>188</v>
      </c>
      <c r="C167" s="27">
        <f>550000+50000-100000</f>
        <v>500000</v>
      </c>
      <c r="D167" s="27">
        <v>0</v>
      </c>
      <c r="E167" s="27">
        <v>0</v>
      </c>
      <c r="F167" s="27">
        <v>0</v>
      </c>
      <c r="G167" s="27">
        <v>0</v>
      </c>
      <c r="H167" s="38">
        <v>0</v>
      </c>
      <c r="I167" s="38">
        <v>0</v>
      </c>
      <c r="J167" s="72">
        <f t="shared" si="9"/>
        <v>500000</v>
      </c>
    </row>
    <row r="168" spans="1:10" x14ac:dyDescent="0.25">
      <c r="A168" s="38">
        <v>22</v>
      </c>
      <c r="B168" s="38" t="s">
        <v>189</v>
      </c>
      <c r="C168" s="27">
        <v>1645000</v>
      </c>
      <c r="D168" s="27">
        <v>0</v>
      </c>
      <c r="E168" s="27">
        <v>0</v>
      </c>
      <c r="F168" s="27"/>
      <c r="G168" s="27"/>
      <c r="H168" s="38">
        <v>0</v>
      </c>
      <c r="I168" s="38"/>
      <c r="J168" s="72">
        <f t="shared" si="9"/>
        <v>1645000</v>
      </c>
    </row>
    <row r="169" spans="1:10" x14ac:dyDescent="0.25">
      <c r="A169" s="38">
        <v>23</v>
      </c>
      <c r="B169" s="38" t="s">
        <v>190</v>
      </c>
      <c r="C169" s="27">
        <v>600000</v>
      </c>
      <c r="D169" s="27">
        <v>0</v>
      </c>
      <c r="E169" s="27">
        <v>0</v>
      </c>
      <c r="F169" s="27">
        <v>0</v>
      </c>
      <c r="G169" s="27">
        <v>0</v>
      </c>
      <c r="H169" s="38">
        <v>0</v>
      </c>
      <c r="I169" s="38">
        <v>0</v>
      </c>
      <c r="J169" s="72">
        <f t="shared" si="9"/>
        <v>600000</v>
      </c>
    </row>
    <row r="170" spans="1:10" x14ac:dyDescent="0.25">
      <c r="A170" s="38">
        <v>24</v>
      </c>
      <c r="B170" s="38" t="s">
        <v>191</v>
      </c>
      <c r="C170" s="27">
        <v>679000</v>
      </c>
      <c r="D170" s="27">
        <v>0</v>
      </c>
      <c r="E170" s="27">
        <v>0</v>
      </c>
      <c r="F170" s="27">
        <v>0</v>
      </c>
      <c r="G170" s="27">
        <v>0</v>
      </c>
      <c r="H170" s="38">
        <v>0</v>
      </c>
      <c r="I170" s="38">
        <v>0</v>
      </c>
      <c r="J170" s="72">
        <f t="shared" si="9"/>
        <v>679000</v>
      </c>
    </row>
    <row r="171" spans="1:10" x14ac:dyDescent="0.25">
      <c r="A171" s="38">
        <v>25</v>
      </c>
      <c r="B171" s="38" t="s">
        <v>192</v>
      </c>
      <c r="C171" s="27">
        <v>850000</v>
      </c>
      <c r="D171" s="27">
        <v>0</v>
      </c>
      <c r="E171" s="27">
        <v>0</v>
      </c>
      <c r="F171" s="27">
        <v>0</v>
      </c>
      <c r="G171" s="27">
        <v>0</v>
      </c>
      <c r="H171" s="38">
        <v>0</v>
      </c>
      <c r="I171" s="38"/>
      <c r="J171" s="72">
        <f t="shared" si="9"/>
        <v>850000</v>
      </c>
    </row>
    <row r="172" spans="1:10" x14ac:dyDescent="0.25">
      <c r="A172" s="38">
        <v>26</v>
      </c>
      <c r="B172" s="38" t="s">
        <v>193</v>
      </c>
      <c r="C172" s="27">
        <v>2660000</v>
      </c>
      <c r="D172" s="27">
        <v>0</v>
      </c>
      <c r="E172" s="27">
        <v>34175</v>
      </c>
      <c r="F172" s="27">
        <v>0</v>
      </c>
      <c r="G172" s="27">
        <v>0</v>
      </c>
      <c r="H172" s="38"/>
      <c r="I172" s="38"/>
      <c r="J172" s="72">
        <f t="shared" si="9"/>
        <v>2694175</v>
      </c>
    </row>
    <row r="173" spans="1:10" x14ac:dyDescent="0.25">
      <c r="A173" s="38">
        <v>27</v>
      </c>
      <c r="B173" s="38" t="s">
        <v>378</v>
      </c>
      <c r="C173" s="27">
        <v>2490000</v>
      </c>
      <c r="D173" s="27">
        <v>0</v>
      </c>
      <c r="E173" s="27">
        <v>50000</v>
      </c>
      <c r="F173" s="27">
        <v>0</v>
      </c>
      <c r="G173" s="27">
        <v>0</v>
      </c>
      <c r="H173" s="38">
        <v>100000</v>
      </c>
      <c r="I173" s="38"/>
      <c r="J173" s="72">
        <f t="shared" si="9"/>
        <v>2640000</v>
      </c>
    </row>
    <row r="174" spans="1:10" x14ac:dyDescent="0.25">
      <c r="A174" s="38">
        <v>28</v>
      </c>
      <c r="B174" s="38" t="s">
        <v>196</v>
      </c>
      <c r="C174" s="27">
        <v>120000</v>
      </c>
      <c r="D174" s="27">
        <v>0</v>
      </c>
      <c r="E174" s="27">
        <v>0</v>
      </c>
      <c r="F174" s="27">
        <v>0</v>
      </c>
      <c r="G174" s="27">
        <v>0</v>
      </c>
      <c r="H174" s="38">
        <v>0</v>
      </c>
      <c r="I174" s="38">
        <v>0</v>
      </c>
      <c r="J174" s="72">
        <f t="shared" si="9"/>
        <v>120000</v>
      </c>
    </row>
    <row r="175" spans="1:10" x14ac:dyDescent="0.25">
      <c r="A175" s="38">
        <v>29</v>
      </c>
      <c r="B175" s="38" t="s">
        <v>197</v>
      </c>
      <c r="C175" s="27">
        <v>1570000</v>
      </c>
      <c r="D175" s="27">
        <v>0</v>
      </c>
      <c r="E175" s="27">
        <v>0</v>
      </c>
      <c r="F175" s="27">
        <v>0</v>
      </c>
      <c r="G175" s="27">
        <v>0</v>
      </c>
      <c r="H175" s="38">
        <v>0</v>
      </c>
      <c r="I175" s="38">
        <v>0</v>
      </c>
      <c r="J175" s="72">
        <f t="shared" si="9"/>
        <v>1570000</v>
      </c>
    </row>
    <row r="176" spans="1:10" x14ac:dyDescent="0.25">
      <c r="A176" s="38">
        <v>30</v>
      </c>
      <c r="B176" s="38" t="s">
        <v>308</v>
      </c>
      <c r="C176" s="27">
        <v>555000</v>
      </c>
      <c r="D176" s="27">
        <v>0</v>
      </c>
      <c r="E176" s="27">
        <v>0</v>
      </c>
      <c r="F176" s="27">
        <v>0</v>
      </c>
      <c r="G176" s="27">
        <v>0</v>
      </c>
      <c r="H176" s="38">
        <v>0</v>
      </c>
      <c r="I176" s="38"/>
      <c r="J176" s="72">
        <f t="shared" si="9"/>
        <v>555000</v>
      </c>
    </row>
    <row r="177" spans="1:10" x14ac:dyDescent="0.25">
      <c r="A177" s="38">
        <v>31</v>
      </c>
      <c r="B177" s="38" t="s">
        <v>201</v>
      </c>
      <c r="C177" s="27">
        <v>900000</v>
      </c>
      <c r="D177" s="27">
        <v>0</v>
      </c>
      <c r="E177" s="27">
        <v>200000</v>
      </c>
      <c r="F177" s="27">
        <v>0</v>
      </c>
      <c r="G177" s="27">
        <v>0</v>
      </c>
      <c r="H177" s="38">
        <v>0</v>
      </c>
      <c r="I177" s="38">
        <v>0</v>
      </c>
      <c r="J177" s="72">
        <f t="shared" si="9"/>
        <v>1100000</v>
      </c>
    </row>
    <row r="178" spans="1:10" x14ac:dyDescent="0.25">
      <c r="A178" s="90">
        <v>32</v>
      </c>
      <c r="B178" s="1" t="s">
        <v>204</v>
      </c>
      <c r="C178" s="27">
        <v>1420058</v>
      </c>
      <c r="D178" s="27"/>
      <c r="E178" s="27">
        <v>95000</v>
      </c>
      <c r="F178" s="27">
        <v>0</v>
      </c>
      <c r="G178" s="27">
        <v>0</v>
      </c>
      <c r="H178" s="38">
        <v>0</v>
      </c>
      <c r="I178" s="38">
        <v>150000</v>
      </c>
      <c r="J178" s="72">
        <f t="shared" si="9"/>
        <v>1665058</v>
      </c>
    </row>
    <row r="179" spans="1:10" x14ac:dyDescent="0.25">
      <c r="A179" s="38">
        <v>33</v>
      </c>
      <c r="B179" s="1" t="s">
        <v>205</v>
      </c>
      <c r="C179" s="27">
        <v>600000</v>
      </c>
      <c r="D179" s="27">
        <v>0</v>
      </c>
      <c r="E179" s="27">
        <v>0</v>
      </c>
      <c r="F179" s="27">
        <v>0</v>
      </c>
      <c r="G179" s="27">
        <v>0</v>
      </c>
      <c r="H179" s="1"/>
      <c r="I179" s="1"/>
      <c r="J179" s="70">
        <f t="shared" si="9"/>
        <v>600000</v>
      </c>
    </row>
    <row r="180" spans="1:10" x14ac:dyDescent="0.25">
      <c r="A180" s="38">
        <v>34</v>
      </c>
      <c r="B180" s="1" t="s">
        <v>208</v>
      </c>
      <c r="C180" s="14">
        <v>1490000</v>
      </c>
      <c r="D180" s="14">
        <v>0</v>
      </c>
      <c r="E180" s="14"/>
      <c r="F180" s="14">
        <v>0</v>
      </c>
      <c r="G180" s="14">
        <v>0</v>
      </c>
      <c r="H180" s="1"/>
      <c r="I180" s="1"/>
      <c r="J180" s="70">
        <f t="shared" si="9"/>
        <v>1490000</v>
      </c>
    </row>
    <row r="181" spans="1:10" x14ac:dyDescent="0.25">
      <c r="A181" s="38">
        <v>35</v>
      </c>
      <c r="B181" s="38" t="s">
        <v>230</v>
      </c>
      <c r="C181" s="27">
        <f>600000-50000+100000</f>
        <v>650000</v>
      </c>
      <c r="D181" s="27">
        <v>0</v>
      </c>
      <c r="E181" s="27">
        <v>0</v>
      </c>
      <c r="F181" s="27">
        <v>0</v>
      </c>
      <c r="G181" s="27">
        <v>0</v>
      </c>
      <c r="H181" s="38">
        <v>0</v>
      </c>
      <c r="I181" s="38">
        <v>0</v>
      </c>
      <c r="J181" s="72">
        <f t="shared" si="9"/>
        <v>650000</v>
      </c>
    </row>
    <row r="182" spans="1:10" x14ac:dyDescent="0.25">
      <c r="A182" s="38">
        <v>36</v>
      </c>
      <c r="B182" s="38" t="s">
        <v>236</v>
      </c>
      <c r="C182" s="27">
        <v>1569000</v>
      </c>
      <c r="D182" s="27"/>
      <c r="E182" s="27">
        <v>0</v>
      </c>
      <c r="F182" s="27">
        <v>0</v>
      </c>
      <c r="G182" s="27">
        <v>0</v>
      </c>
      <c r="H182" s="38">
        <v>0</v>
      </c>
      <c r="I182" s="38">
        <v>0</v>
      </c>
      <c r="J182" s="72">
        <f t="shared" si="9"/>
        <v>1569000</v>
      </c>
    </row>
    <row r="183" spans="1:10" x14ac:dyDescent="0.25">
      <c r="A183" s="38">
        <v>37</v>
      </c>
      <c r="B183" s="38" t="s">
        <v>285</v>
      </c>
      <c r="C183" s="27">
        <v>500000</v>
      </c>
      <c r="D183" s="27">
        <v>0</v>
      </c>
      <c r="E183" s="27">
        <v>0</v>
      </c>
      <c r="F183" s="27">
        <v>0</v>
      </c>
      <c r="G183" s="27">
        <v>0</v>
      </c>
      <c r="H183" s="38">
        <v>0</v>
      </c>
      <c r="I183" s="38"/>
      <c r="J183" s="72">
        <f t="shared" si="9"/>
        <v>500000</v>
      </c>
    </row>
    <row r="184" spans="1:10" x14ac:dyDescent="0.25">
      <c r="A184" s="38">
        <v>38</v>
      </c>
      <c r="B184" s="38" t="s">
        <v>286</v>
      </c>
      <c r="C184" s="27">
        <v>1400000</v>
      </c>
      <c r="D184" s="27">
        <v>0</v>
      </c>
      <c r="E184" s="27">
        <v>0</v>
      </c>
      <c r="F184" s="27">
        <v>0</v>
      </c>
      <c r="G184" s="27"/>
      <c r="H184" s="38">
        <v>0</v>
      </c>
      <c r="I184" s="38"/>
      <c r="J184" s="72">
        <f t="shared" si="9"/>
        <v>1400000</v>
      </c>
    </row>
    <row r="185" spans="1:10" x14ac:dyDescent="0.25">
      <c r="A185" s="38">
        <v>39</v>
      </c>
      <c r="B185" s="38" t="s">
        <v>287</v>
      </c>
      <c r="C185" s="27">
        <f>120000-10000-10000</f>
        <v>100000</v>
      </c>
      <c r="D185" s="27">
        <v>0</v>
      </c>
      <c r="E185" s="27">
        <v>0</v>
      </c>
      <c r="F185" s="27"/>
      <c r="G185" s="27">
        <v>0</v>
      </c>
      <c r="H185" s="38">
        <v>0</v>
      </c>
      <c r="I185" s="38"/>
      <c r="J185" s="72">
        <f t="shared" si="9"/>
        <v>100000</v>
      </c>
    </row>
    <row r="186" spans="1:10" x14ac:dyDescent="0.25">
      <c r="A186" s="38">
        <v>40</v>
      </c>
      <c r="B186" s="38" t="s">
        <v>288</v>
      </c>
      <c r="C186" s="27">
        <v>549000</v>
      </c>
      <c r="D186" s="27">
        <v>0</v>
      </c>
      <c r="E186" s="27">
        <v>30000</v>
      </c>
      <c r="F186" s="27">
        <v>0</v>
      </c>
      <c r="G186" s="27">
        <v>0</v>
      </c>
      <c r="H186" s="38"/>
      <c r="I186" s="38"/>
      <c r="J186" s="72">
        <f t="shared" si="9"/>
        <v>579000</v>
      </c>
    </row>
    <row r="187" spans="1:10" x14ac:dyDescent="0.25">
      <c r="A187" s="38">
        <v>41</v>
      </c>
      <c r="B187" s="123" t="s">
        <v>289</v>
      </c>
      <c r="C187" s="124">
        <v>1250000</v>
      </c>
      <c r="D187" s="124">
        <v>50000</v>
      </c>
      <c r="E187" s="124">
        <v>50000</v>
      </c>
      <c r="F187" s="124">
        <v>0</v>
      </c>
      <c r="G187" s="124">
        <v>0</v>
      </c>
      <c r="H187" s="38"/>
      <c r="I187" s="38"/>
      <c r="J187" s="72">
        <f t="shared" si="9"/>
        <v>1350000</v>
      </c>
    </row>
    <row r="188" spans="1:10" x14ac:dyDescent="0.25">
      <c r="A188" s="38">
        <v>42</v>
      </c>
      <c r="B188" s="38" t="s">
        <v>315</v>
      </c>
      <c r="C188" s="27">
        <v>2520000</v>
      </c>
      <c r="D188" s="38"/>
      <c r="E188" s="27"/>
      <c r="F188" s="27">
        <v>0</v>
      </c>
      <c r="G188" s="27">
        <v>0</v>
      </c>
      <c r="H188" s="38">
        <v>0</v>
      </c>
      <c r="I188" s="38"/>
      <c r="J188" s="72">
        <f t="shared" si="9"/>
        <v>2520000</v>
      </c>
    </row>
    <row r="189" spans="1:10" x14ac:dyDescent="0.25">
      <c r="A189" s="75">
        <v>43</v>
      </c>
      <c r="B189" s="38" t="s">
        <v>316</v>
      </c>
      <c r="C189" s="27">
        <v>2600000</v>
      </c>
      <c r="D189" s="38">
        <v>0</v>
      </c>
      <c r="E189" s="27">
        <v>0</v>
      </c>
      <c r="F189" s="27">
        <v>0</v>
      </c>
      <c r="G189" s="27">
        <v>0</v>
      </c>
      <c r="H189" s="38">
        <v>0</v>
      </c>
      <c r="I189" s="38"/>
      <c r="J189" s="72">
        <f t="shared" si="9"/>
        <v>2600000</v>
      </c>
    </row>
    <row r="190" spans="1:10" x14ac:dyDescent="0.25">
      <c r="A190" s="90">
        <v>44</v>
      </c>
      <c r="B190" s="38" t="s">
        <v>338</v>
      </c>
      <c r="C190" s="27">
        <v>2300000</v>
      </c>
      <c r="D190" s="38">
        <v>0</v>
      </c>
      <c r="E190" s="38">
        <v>0</v>
      </c>
      <c r="F190" s="27">
        <v>0</v>
      </c>
      <c r="G190" s="27">
        <v>0</v>
      </c>
      <c r="H190" s="38">
        <v>0</v>
      </c>
      <c r="I190" s="38"/>
      <c r="J190" s="72">
        <f t="shared" si="9"/>
        <v>2300000</v>
      </c>
    </row>
    <row r="191" spans="1:10" x14ac:dyDescent="0.25">
      <c r="A191" s="38">
        <v>45</v>
      </c>
      <c r="B191" s="38" t="s">
        <v>383</v>
      </c>
      <c r="C191" s="27">
        <v>550000</v>
      </c>
      <c r="D191" s="27">
        <v>0</v>
      </c>
      <c r="E191" s="27">
        <v>50000</v>
      </c>
      <c r="F191" s="27">
        <v>0</v>
      </c>
      <c r="G191" s="27">
        <v>0</v>
      </c>
      <c r="H191" s="27">
        <v>100000</v>
      </c>
      <c r="I191" s="38"/>
      <c r="J191" s="27">
        <f t="shared" si="9"/>
        <v>700000</v>
      </c>
    </row>
    <row r="192" spans="1:10" x14ac:dyDescent="0.25">
      <c r="A192" s="38">
        <v>46</v>
      </c>
      <c r="B192" s="1" t="s">
        <v>384</v>
      </c>
      <c r="C192" s="14">
        <v>810000</v>
      </c>
      <c r="D192" s="14">
        <v>0</v>
      </c>
      <c r="E192" s="14">
        <v>0</v>
      </c>
      <c r="F192" s="14">
        <v>0</v>
      </c>
      <c r="G192" s="14">
        <v>0</v>
      </c>
      <c r="H192" s="14">
        <v>0</v>
      </c>
      <c r="I192" s="1"/>
      <c r="J192" s="14">
        <f t="shared" si="9"/>
        <v>810000</v>
      </c>
    </row>
    <row r="193" spans="1:10" x14ac:dyDescent="0.25">
      <c r="A193" s="38">
        <v>47</v>
      </c>
      <c r="B193" s="1" t="s">
        <v>399</v>
      </c>
      <c r="C193" s="14">
        <v>1500000</v>
      </c>
      <c r="D193" s="14">
        <v>0</v>
      </c>
      <c r="E193" s="14">
        <v>0</v>
      </c>
      <c r="F193" s="14">
        <v>0</v>
      </c>
      <c r="G193" s="14">
        <v>0</v>
      </c>
      <c r="H193" s="14">
        <v>0</v>
      </c>
      <c r="I193" s="1"/>
      <c r="J193" s="14">
        <f t="shared" si="9"/>
        <v>1500000</v>
      </c>
    </row>
    <row r="194" spans="1:10" x14ac:dyDescent="0.25">
      <c r="A194" s="38">
        <v>48</v>
      </c>
      <c r="B194" s="1" t="s">
        <v>401</v>
      </c>
      <c r="C194" s="14">
        <v>650000</v>
      </c>
      <c r="D194" s="14">
        <v>500000</v>
      </c>
      <c r="E194" s="14">
        <v>0</v>
      </c>
      <c r="F194" s="14">
        <v>500000</v>
      </c>
      <c r="G194" s="14">
        <v>0</v>
      </c>
      <c r="H194" s="14">
        <v>0</v>
      </c>
      <c r="I194" s="1"/>
      <c r="J194" s="70">
        <f t="shared" si="9"/>
        <v>1650000</v>
      </c>
    </row>
    <row r="195" spans="1:10" x14ac:dyDescent="0.25">
      <c r="A195" s="38">
        <v>49</v>
      </c>
      <c r="B195" s="1" t="s">
        <v>422</v>
      </c>
      <c r="C195" s="1">
        <v>0</v>
      </c>
      <c r="D195" s="14">
        <v>0</v>
      </c>
      <c r="E195" s="14">
        <v>0</v>
      </c>
      <c r="F195" s="14">
        <v>0</v>
      </c>
      <c r="G195" s="14">
        <v>0</v>
      </c>
      <c r="H195" s="14">
        <v>1035000</v>
      </c>
      <c r="I195" s="1">
        <v>35000</v>
      </c>
      <c r="J195" s="14">
        <f t="shared" si="9"/>
        <v>1070000</v>
      </c>
    </row>
    <row r="196" spans="1:10" x14ac:dyDescent="0.25">
      <c r="A196" s="38"/>
      <c r="B196" s="1"/>
      <c r="C196" s="1"/>
      <c r="D196" s="1"/>
      <c r="E196" s="1"/>
      <c r="F196" s="1"/>
      <c r="G196" s="1"/>
      <c r="H196" s="1"/>
      <c r="I196" s="1"/>
      <c r="J196" s="1"/>
    </row>
    <row r="197" spans="1:10" x14ac:dyDescent="0.25">
      <c r="A197" s="1"/>
      <c r="B197" s="58" t="s">
        <v>138</v>
      </c>
      <c r="C197" s="15">
        <f t="shared" ref="C197:I197" si="10">SUM(C147:C196)</f>
        <v>53817958</v>
      </c>
      <c r="D197" s="15">
        <f t="shared" si="10"/>
        <v>703000</v>
      </c>
      <c r="E197" s="15">
        <f t="shared" si="10"/>
        <v>834175</v>
      </c>
      <c r="F197" s="15">
        <f t="shared" si="10"/>
        <v>845000</v>
      </c>
      <c r="G197" s="15">
        <f t="shared" si="10"/>
        <v>20000</v>
      </c>
      <c r="H197" s="15">
        <f t="shared" si="10"/>
        <v>1235000</v>
      </c>
      <c r="I197" s="15">
        <f t="shared" si="10"/>
        <v>185000</v>
      </c>
      <c r="J197" s="15">
        <f>SUM(C197:I197)</f>
        <v>57640133</v>
      </c>
    </row>
    <row r="205" spans="1:10" x14ac:dyDescent="0.25">
      <c r="E205" s="26"/>
    </row>
    <row r="207" spans="1:10" x14ac:dyDescent="0.25">
      <c r="J207" s="26"/>
    </row>
    <row r="213" spans="1:3" ht="18.75" x14ac:dyDescent="0.3">
      <c r="B213" s="5" t="s">
        <v>80</v>
      </c>
    </row>
    <row r="214" spans="1:3" ht="18.75" x14ac:dyDescent="0.3">
      <c r="B214" s="5" t="s">
        <v>64</v>
      </c>
    </row>
    <row r="215" spans="1:3" ht="18.75" x14ac:dyDescent="0.3">
      <c r="B215" s="5" t="s">
        <v>243</v>
      </c>
    </row>
    <row r="216" spans="1:3" ht="18.75" x14ac:dyDescent="0.3">
      <c r="B216" s="5" t="s">
        <v>420</v>
      </c>
    </row>
    <row r="218" spans="1:3" x14ac:dyDescent="0.25">
      <c r="A218" s="3" t="s">
        <v>244</v>
      </c>
      <c r="B218" s="3" t="s">
        <v>245</v>
      </c>
      <c r="C218" s="121" t="s">
        <v>249</v>
      </c>
    </row>
    <row r="219" spans="1:3" x14ac:dyDescent="0.25">
      <c r="A219" s="1">
        <v>1</v>
      </c>
      <c r="B219" s="66" t="s">
        <v>22</v>
      </c>
      <c r="C219" s="97">
        <v>19400000</v>
      </c>
    </row>
    <row r="220" spans="1:3" x14ac:dyDescent="0.25">
      <c r="A220" s="1">
        <v>2</v>
      </c>
      <c r="B220" s="66" t="s">
        <v>246</v>
      </c>
      <c r="C220" s="97">
        <v>57455133</v>
      </c>
    </row>
    <row r="221" spans="1:3" x14ac:dyDescent="0.25">
      <c r="A221" s="1">
        <v>3</v>
      </c>
      <c r="B221" s="66" t="s">
        <v>396</v>
      </c>
      <c r="C221" s="98">
        <v>0</v>
      </c>
    </row>
    <row r="222" spans="1:3" x14ac:dyDescent="0.25">
      <c r="A222" s="1"/>
      <c r="B222" s="66" t="s">
        <v>397</v>
      </c>
      <c r="C222" s="98">
        <v>30000</v>
      </c>
    </row>
    <row r="223" spans="1:3" x14ac:dyDescent="0.25">
      <c r="A223" s="1"/>
      <c r="B223" s="66" t="s">
        <v>398</v>
      </c>
      <c r="C223" s="98">
        <v>596500</v>
      </c>
    </row>
    <row r="224" spans="1:3" x14ac:dyDescent="0.25">
      <c r="A224" s="1">
        <v>4</v>
      </c>
      <c r="B224" s="1" t="s">
        <v>255</v>
      </c>
      <c r="C224" s="88">
        <v>603992</v>
      </c>
    </row>
    <row r="225" spans="1:5" x14ac:dyDescent="0.25">
      <c r="A225" s="1">
        <v>5</v>
      </c>
      <c r="B225" s="1" t="s">
        <v>387</v>
      </c>
      <c r="C225" s="88">
        <v>4550</v>
      </c>
    </row>
    <row r="226" spans="1:5" ht="18.75" x14ac:dyDescent="0.3">
      <c r="A226" s="1"/>
      <c r="B226" s="73" t="s">
        <v>248</v>
      </c>
      <c r="C226" s="89">
        <f>SUM(C219:C225)</f>
        <v>78090175</v>
      </c>
      <c r="D226" s="12"/>
      <c r="E226" s="118"/>
    </row>
    <row r="227" spans="1:5" ht="18.75" x14ac:dyDescent="0.3">
      <c r="B227" s="5"/>
      <c r="C227" s="26"/>
    </row>
    <row r="228" spans="1:5" ht="18.75" x14ac:dyDescent="0.3">
      <c r="A228" s="3" t="s">
        <v>250</v>
      </c>
      <c r="B228" s="73" t="s">
        <v>251</v>
      </c>
      <c r="C228" s="121" t="s">
        <v>249</v>
      </c>
    </row>
    <row r="229" spans="1:5" x14ac:dyDescent="0.25">
      <c r="A229" s="1">
        <v>1</v>
      </c>
      <c r="B229" s="66" t="s">
        <v>252</v>
      </c>
      <c r="C229" s="87">
        <v>20000000</v>
      </c>
    </row>
    <row r="230" spans="1:5" x14ac:dyDescent="0.25">
      <c r="A230" s="1">
        <v>2</v>
      </c>
      <c r="B230" s="66" t="s">
        <v>253</v>
      </c>
      <c r="C230" s="88">
        <v>53628757</v>
      </c>
    </row>
    <row r="231" spans="1:5" x14ac:dyDescent="0.25">
      <c r="A231" s="1">
        <v>3</v>
      </c>
      <c r="B231" s="66" t="s">
        <v>254</v>
      </c>
      <c r="C231" s="88">
        <v>570231</v>
      </c>
    </row>
    <row r="232" spans="1:5" x14ac:dyDescent="0.25">
      <c r="A232" s="1">
        <v>4</v>
      </c>
      <c r="B232" s="1" t="s">
        <v>296</v>
      </c>
      <c r="C232" s="88">
        <v>2350000</v>
      </c>
    </row>
    <row r="233" spans="1:5" x14ac:dyDescent="0.25">
      <c r="A233" s="1">
        <v>5</v>
      </c>
      <c r="B233" s="1" t="s">
        <v>400</v>
      </c>
      <c r="C233" s="88">
        <v>0</v>
      </c>
    </row>
    <row r="234" spans="1:5" x14ac:dyDescent="0.25">
      <c r="A234" s="1"/>
      <c r="B234" s="1" t="s">
        <v>310</v>
      </c>
      <c r="C234" s="88">
        <v>0</v>
      </c>
    </row>
    <row r="235" spans="1:5" x14ac:dyDescent="0.25">
      <c r="A235" s="1"/>
      <c r="B235" s="1" t="s">
        <v>297</v>
      </c>
      <c r="C235" s="88">
        <v>1541187</v>
      </c>
    </row>
    <row r="236" spans="1:5" ht="18.75" x14ac:dyDescent="0.3">
      <c r="A236" s="1"/>
      <c r="B236" s="73" t="s">
        <v>248</v>
      </c>
      <c r="C236" s="89">
        <f>SUM(C229:C235)</f>
        <v>78090175</v>
      </c>
    </row>
    <row r="238" spans="1:5" ht="15.75" thickBot="1" x14ac:dyDescent="0.3"/>
    <row r="239" spans="1:5" x14ac:dyDescent="0.25">
      <c r="B239" s="31" t="s">
        <v>343</v>
      </c>
      <c r="C239" s="102"/>
      <c r="D239" s="102"/>
      <c r="E239" s="108">
        <v>20000000</v>
      </c>
    </row>
    <row r="240" spans="1:5" x14ac:dyDescent="0.25">
      <c r="B240" s="103" t="s">
        <v>341</v>
      </c>
      <c r="C240" s="22"/>
      <c r="D240" s="22"/>
      <c r="E240" s="109">
        <v>500000</v>
      </c>
    </row>
    <row r="241" spans="1:9" ht="15.75" thickBot="1" x14ac:dyDescent="0.3">
      <c r="B241" s="106" t="s">
        <v>342</v>
      </c>
      <c r="C241" s="107"/>
      <c r="D241" s="107"/>
      <c r="E241" s="110">
        <v>100000</v>
      </c>
      <c r="I241" s="101"/>
    </row>
    <row r="242" spans="1:9" ht="15.75" thickBot="1" x14ac:dyDescent="0.3">
      <c r="A242" s="22"/>
      <c r="B242" s="104" t="s">
        <v>344</v>
      </c>
      <c r="C242" s="105"/>
      <c r="D242" s="105"/>
      <c r="E242" s="111">
        <v>19400000</v>
      </c>
    </row>
    <row r="250" spans="1:9" ht="18.75" x14ac:dyDescent="0.3">
      <c r="B250" s="5" t="s">
        <v>80</v>
      </c>
    </row>
    <row r="251" spans="1:9" ht="18.75" x14ac:dyDescent="0.3">
      <c r="B251" s="5" t="s">
        <v>64</v>
      </c>
    </row>
    <row r="252" spans="1:9" x14ac:dyDescent="0.25">
      <c r="B252" t="s">
        <v>420</v>
      </c>
    </row>
    <row r="253" spans="1:9" ht="15.75" x14ac:dyDescent="0.25">
      <c r="A253" s="9" t="s">
        <v>156</v>
      </c>
      <c r="B253" s="8" t="s">
        <v>139</v>
      </c>
      <c r="C253" s="9" t="s">
        <v>140</v>
      </c>
      <c r="D253" s="9" t="s">
        <v>152</v>
      </c>
      <c r="E253" s="9" t="s">
        <v>141</v>
      </c>
      <c r="F253" s="66" t="s">
        <v>142</v>
      </c>
      <c r="G253" s="119"/>
    </row>
    <row r="254" spans="1:9" ht="15.75" x14ac:dyDescent="0.25">
      <c r="A254" s="9"/>
      <c r="B254" s="8" t="s">
        <v>406</v>
      </c>
      <c r="C254" s="56">
        <v>133972</v>
      </c>
      <c r="D254" s="56">
        <v>539370</v>
      </c>
      <c r="E254" s="56">
        <v>19960</v>
      </c>
      <c r="F254" s="56">
        <v>88545</v>
      </c>
    </row>
    <row r="255" spans="1:9" ht="15.75" x14ac:dyDescent="0.25">
      <c r="A255" s="9">
        <v>1</v>
      </c>
      <c r="B255" s="9" t="s">
        <v>407</v>
      </c>
      <c r="C255" s="56">
        <v>0</v>
      </c>
      <c r="D255" s="56">
        <v>0</v>
      </c>
      <c r="E255" s="56">
        <v>0</v>
      </c>
      <c r="F255" s="56">
        <v>60</v>
      </c>
    </row>
    <row r="256" spans="1:9" ht="15.75" x14ac:dyDescent="0.25">
      <c r="A256" s="9">
        <v>2</v>
      </c>
      <c r="B256" s="9" t="s">
        <v>408</v>
      </c>
      <c r="C256" s="56">
        <v>0</v>
      </c>
      <c r="D256" s="56">
        <v>0</v>
      </c>
      <c r="E256" s="56">
        <v>0</v>
      </c>
      <c r="F256" s="56">
        <v>68</v>
      </c>
    </row>
    <row r="257" spans="1:6" ht="15.75" x14ac:dyDescent="0.25">
      <c r="A257" s="9">
        <v>3</v>
      </c>
      <c r="B257" s="9" t="s">
        <v>409</v>
      </c>
      <c r="C257" s="56">
        <v>0</v>
      </c>
      <c r="D257" s="56">
        <v>0</v>
      </c>
      <c r="E257" s="56">
        <v>0</v>
      </c>
      <c r="F257" s="56">
        <v>465</v>
      </c>
    </row>
    <row r="258" spans="1:6" ht="15.75" x14ac:dyDescent="0.25">
      <c r="A258" s="9">
        <v>4</v>
      </c>
      <c r="B258" s="9" t="s">
        <v>410</v>
      </c>
      <c r="C258" s="56">
        <v>0</v>
      </c>
      <c r="D258" s="56"/>
      <c r="E258" s="56">
        <v>0</v>
      </c>
      <c r="F258" s="56">
        <v>0</v>
      </c>
    </row>
    <row r="259" spans="1:6" ht="15.75" x14ac:dyDescent="0.25">
      <c r="A259" s="9">
        <v>5</v>
      </c>
      <c r="B259" s="9" t="s">
        <v>411</v>
      </c>
      <c r="C259" s="56">
        <v>0</v>
      </c>
      <c r="D259" s="56"/>
      <c r="E259" s="56">
        <v>0</v>
      </c>
      <c r="F259" s="56">
        <v>172</v>
      </c>
    </row>
    <row r="260" spans="1:6" ht="15.75" x14ac:dyDescent="0.25">
      <c r="A260" s="8">
        <v>6</v>
      </c>
      <c r="B260" s="8" t="s">
        <v>412</v>
      </c>
      <c r="C260" s="57"/>
      <c r="D260" s="1"/>
      <c r="E260" s="1">
        <v>0</v>
      </c>
      <c r="F260" s="1"/>
    </row>
    <row r="261" spans="1:6" ht="15.75" x14ac:dyDescent="0.25">
      <c r="A261" s="9">
        <v>7</v>
      </c>
      <c r="B261" s="9" t="s">
        <v>413</v>
      </c>
      <c r="C261" s="56">
        <v>0</v>
      </c>
      <c r="D261" s="56">
        <v>0</v>
      </c>
      <c r="E261" s="56">
        <v>0</v>
      </c>
      <c r="F261" s="56"/>
    </row>
    <row r="262" spans="1:6" ht="15.75" x14ac:dyDescent="0.25">
      <c r="A262" s="9">
        <v>8</v>
      </c>
      <c r="B262" s="9" t="s">
        <v>414</v>
      </c>
      <c r="C262" s="56">
        <v>0</v>
      </c>
      <c r="D262" s="56">
        <v>0</v>
      </c>
      <c r="E262" s="56">
        <v>0</v>
      </c>
      <c r="F262" s="56"/>
    </row>
    <row r="263" spans="1:6" ht="15.75" x14ac:dyDescent="0.25">
      <c r="A263" s="9">
        <v>9</v>
      </c>
      <c r="B263" s="9" t="s">
        <v>415</v>
      </c>
      <c r="C263" s="56">
        <v>0</v>
      </c>
      <c r="D263" s="56">
        <v>0</v>
      </c>
      <c r="E263" s="56">
        <v>0</v>
      </c>
      <c r="F263" s="56"/>
    </row>
    <row r="264" spans="1:6" ht="15.75" x14ac:dyDescent="0.25">
      <c r="A264" s="9">
        <v>10</v>
      </c>
      <c r="B264" s="9" t="s">
        <v>416</v>
      </c>
      <c r="C264" s="56">
        <v>0</v>
      </c>
      <c r="D264" s="56">
        <v>0</v>
      </c>
      <c r="E264" s="56">
        <v>0</v>
      </c>
      <c r="F264" s="56"/>
    </row>
    <row r="265" spans="1:6" ht="15.75" x14ac:dyDescent="0.25">
      <c r="A265" s="9">
        <v>11</v>
      </c>
      <c r="B265" s="9" t="s">
        <v>417</v>
      </c>
      <c r="C265" s="56">
        <v>0</v>
      </c>
      <c r="D265" s="56">
        <v>0</v>
      </c>
      <c r="E265" s="56">
        <v>0</v>
      </c>
      <c r="F265" s="56"/>
    </row>
    <row r="266" spans="1:6" ht="15.75" x14ac:dyDescent="0.25">
      <c r="A266" s="9">
        <v>12</v>
      </c>
      <c r="B266" s="66" t="s">
        <v>418</v>
      </c>
      <c r="C266" s="56"/>
      <c r="D266" s="56">
        <v>0</v>
      </c>
      <c r="E266" s="56">
        <v>0</v>
      </c>
      <c r="F266" s="56"/>
    </row>
    <row r="267" spans="1:6" ht="15.75" x14ac:dyDescent="0.25">
      <c r="A267" s="9"/>
      <c r="B267" s="55" t="s">
        <v>138</v>
      </c>
      <c r="C267" s="57">
        <f>SUM(C254:C266)</f>
        <v>133972</v>
      </c>
      <c r="D267" s="57">
        <f>SUM(D254:D266)</f>
        <v>539370</v>
      </c>
      <c r="E267" s="57">
        <f>SUM(E254:E266)</f>
        <v>19960</v>
      </c>
      <c r="F267" s="57">
        <f>SUM(F254:F266)</f>
        <v>89310</v>
      </c>
    </row>
    <row r="268" spans="1:6" ht="15.75" thickBot="1" x14ac:dyDescent="0.3"/>
    <row r="269" spans="1:6" ht="16.5" thickBot="1" x14ac:dyDescent="0.3">
      <c r="D269" s="12" t="s">
        <v>203</v>
      </c>
      <c r="E269" s="12"/>
      <c r="F269" s="65">
        <f>SUM(C267+D267+E267)-(F267)</f>
        <v>603992</v>
      </c>
    </row>
    <row r="281" spans="1:10" ht="18.75" x14ac:dyDescent="0.3">
      <c r="B281" s="5" t="s">
        <v>80</v>
      </c>
    </row>
    <row r="282" spans="1:10" ht="18.75" x14ac:dyDescent="0.3">
      <c r="B282" s="5" t="s">
        <v>64</v>
      </c>
    </row>
    <row r="283" spans="1:10" x14ac:dyDescent="0.25">
      <c r="B283" t="s">
        <v>385</v>
      </c>
    </row>
    <row r="284" spans="1:10" x14ac:dyDescent="0.25">
      <c r="A284" s="3" t="s">
        <v>163</v>
      </c>
      <c r="B284" s="3" t="s">
        <v>164</v>
      </c>
      <c r="C284" s="59" t="s">
        <v>405</v>
      </c>
      <c r="D284" s="13">
        <v>43831</v>
      </c>
      <c r="E284" s="13">
        <v>43862</v>
      </c>
      <c r="F284" s="13">
        <v>43891</v>
      </c>
      <c r="G284" s="13">
        <v>43922</v>
      </c>
      <c r="H284" s="13">
        <v>43952</v>
      </c>
      <c r="I284" s="13">
        <v>43983</v>
      </c>
      <c r="J284" s="1" t="s">
        <v>81</v>
      </c>
    </row>
    <row r="285" spans="1:10" x14ac:dyDescent="0.25">
      <c r="A285" s="1">
        <v>1</v>
      </c>
      <c r="B285" s="1" t="s">
        <v>386</v>
      </c>
      <c r="C285" s="27">
        <v>4550</v>
      </c>
      <c r="D285" s="27">
        <v>0</v>
      </c>
      <c r="E285" s="27">
        <v>0</v>
      </c>
      <c r="F285" s="27">
        <v>0</v>
      </c>
      <c r="G285" s="27">
        <v>0</v>
      </c>
      <c r="H285" s="38"/>
      <c r="I285" s="38"/>
      <c r="J285" s="72">
        <f>SUM(C285:I285)</f>
        <v>4550</v>
      </c>
    </row>
    <row r="286" spans="1:10" x14ac:dyDescent="0.25">
      <c r="A286" s="1">
        <v>2</v>
      </c>
      <c r="B286" s="1"/>
      <c r="C286" s="27">
        <v>0</v>
      </c>
      <c r="D286" s="27">
        <v>0</v>
      </c>
      <c r="E286" s="27">
        <v>0</v>
      </c>
      <c r="F286" s="27"/>
      <c r="G286" s="27"/>
      <c r="H286" s="38"/>
      <c r="I286" s="38"/>
      <c r="J286" s="72">
        <f t="shared" ref="J286:J287" si="11">SUM(C286:I286)</f>
        <v>0</v>
      </c>
    </row>
    <row r="287" spans="1:10" x14ac:dyDescent="0.25">
      <c r="A287" s="1">
        <v>3</v>
      </c>
      <c r="B287" s="1"/>
      <c r="C287" s="27">
        <v>0</v>
      </c>
      <c r="D287" s="27">
        <v>0</v>
      </c>
      <c r="E287" s="27">
        <v>0</v>
      </c>
      <c r="F287" s="27">
        <v>0</v>
      </c>
      <c r="G287" s="27"/>
      <c r="H287" s="38"/>
      <c r="I287" s="38"/>
      <c r="J287" s="72">
        <f t="shared" si="11"/>
        <v>0</v>
      </c>
    </row>
  </sheetData>
  <pageMargins left="0.7" right="0.7" top="0.75" bottom="0.75" header="0.3" footer="0.3"/>
  <pageSetup scale="95" orientation="landscape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8"/>
  <sheetViews>
    <sheetView topLeftCell="A214" workbookViewId="0">
      <selection activeCell="B221" sqref="B221:C221"/>
    </sheetView>
  </sheetViews>
  <sheetFormatPr defaultRowHeight="15" x14ac:dyDescent="0.25"/>
  <cols>
    <col min="1" max="1" width="4.28515625" customWidth="1"/>
    <col min="2" max="2" width="32.140625" customWidth="1"/>
    <col min="3" max="3" width="14" customWidth="1"/>
    <col min="4" max="4" width="10.42578125" customWidth="1"/>
    <col min="5" max="5" width="11.42578125" customWidth="1"/>
    <col min="6" max="6" width="10.28515625" customWidth="1"/>
    <col min="7" max="7" width="10.5703125" customWidth="1"/>
    <col min="8" max="8" width="11.28515625" customWidth="1"/>
    <col min="9" max="9" width="10.28515625" customWidth="1"/>
    <col min="10" max="10" width="12.7109375" customWidth="1"/>
  </cols>
  <sheetData>
    <row r="1" spans="1:10" ht="13.5" customHeight="1" x14ac:dyDescent="0.25">
      <c r="A1" s="94"/>
      <c r="B1" s="54" t="s">
        <v>80</v>
      </c>
      <c r="C1" s="54"/>
      <c r="D1" s="54"/>
      <c r="E1" s="94"/>
      <c r="F1" s="94"/>
      <c r="G1" s="94"/>
      <c r="H1" s="94"/>
      <c r="I1" s="94"/>
      <c r="J1" s="94"/>
    </row>
    <row r="2" spans="1:10" ht="12.75" customHeight="1" x14ac:dyDescent="0.25">
      <c r="A2" s="94"/>
      <c r="B2" s="54" t="s">
        <v>64</v>
      </c>
      <c r="C2" s="54"/>
      <c r="D2" s="54"/>
      <c r="E2" s="94"/>
      <c r="F2" s="94"/>
      <c r="G2" s="94"/>
      <c r="H2" s="94"/>
      <c r="I2" s="94"/>
      <c r="J2" s="94"/>
    </row>
    <row r="3" spans="1:10" ht="12" customHeight="1" x14ac:dyDescent="0.25">
      <c r="A3" s="94"/>
      <c r="B3" s="54" t="s">
        <v>423</v>
      </c>
      <c r="C3" s="54"/>
      <c r="D3" s="54"/>
      <c r="E3" s="94"/>
      <c r="F3" s="94"/>
      <c r="G3" s="94"/>
      <c r="H3" s="94"/>
      <c r="I3" s="94"/>
      <c r="J3" s="94"/>
    </row>
    <row r="4" spans="1:10" ht="15.75" x14ac:dyDescent="0.25">
      <c r="A4" s="1" t="s">
        <v>21</v>
      </c>
      <c r="B4" s="8" t="s">
        <v>6</v>
      </c>
      <c r="C4" s="59" t="s">
        <v>424</v>
      </c>
      <c r="D4" s="13">
        <v>44013</v>
      </c>
      <c r="E4" s="13">
        <v>44044</v>
      </c>
      <c r="F4" s="13">
        <v>44075</v>
      </c>
      <c r="G4" s="13">
        <v>44105</v>
      </c>
      <c r="H4" s="13">
        <v>44136</v>
      </c>
      <c r="I4" s="13">
        <v>44166</v>
      </c>
      <c r="J4" s="1" t="s">
        <v>81</v>
      </c>
    </row>
    <row r="5" spans="1:10" x14ac:dyDescent="0.25">
      <c r="A5" s="1">
        <v>1</v>
      </c>
      <c r="B5" s="1" t="s">
        <v>83</v>
      </c>
      <c r="C5" s="27">
        <v>16100</v>
      </c>
      <c r="D5" s="27">
        <v>0</v>
      </c>
      <c r="E5" s="27">
        <v>0</v>
      </c>
      <c r="F5" s="38">
        <v>0</v>
      </c>
      <c r="G5" s="38">
        <v>0</v>
      </c>
      <c r="H5" s="38">
        <v>0</v>
      </c>
      <c r="I5" s="38">
        <v>0</v>
      </c>
      <c r="J5" s="27">
        <f t="shared" ref="J5:J35" si="0">SUM(C5:I5)</f>
        <v>16100</v>
      </c>
    </row>
    <row r="6" spans="1:10" ht="15.75" x14ac:dyDescent="0.25">
      <c r="A6" s="1">
        <v>2</v>
      </c>
      <c r="B6" s="17" t="s">
        <v>95</v>
      </c>
      <c r="C6" s="68">
        <v>852900</v>
      </c>
      <c r="D6" s="27">
        <v>0</v>
      </c>
      <c r="E6" s="27">
        <v>0</v>
      </c>
      <c r="F6" s="38">
        <v>0</v>
      </c>
      <c r="G6" s="38">
        <v>0</v>
      </c>
      <c r="H6" s="38">
        <v>0</v>
      </c>
      <c r="I6" s="38">
        <v>0</v>
      </c>
      <c r="J6" s="27">
        <f t="shared" si="0"/>
        <v>852900</v>
      </c>
    </row>
    <row r="7" spans="1:10" x14ac:dyDescent="0.25">
      <c r="A7" s="1">
        <v>3</v>
      </c>
      <c r="B7" s="1" t="s">
        <v>82</v>
      </c>
      <c r="C7" s="27">
        <v>115500</v>
      </c>
      <c r="D7" s="27">
        <v>0</v>
      </c>
      <c r="E7" s="27">
        <v>0</v>
      </c>
      <c r="F7" s="38">
        <v>0</v>
      </c>
      <c r="G7" s="38">
        <v>0</v>
      </c>
      <c r="H7" s="38">
        <v>0</v>
      </c>
      <c r="I7" s="38">
        <v>0</v>
      </c>
      <c r="J7" s="27">
        <f t="shared" si="0"/>
        <v>115500</v>
      </c>
    </row>
    <row r="8" spans="1:10" x14ac:dyDescent="0.25">
      <c r="A8" s="1">
        <v>4</v>
      </c>
      <c r="B8" s="1" t="s">
        <v>107</v>
      </c>
      <c r="C8" s="27">
        <v>320120</v>
      </c>
      <c r="D8" s="27">
        <v>0</v>
      </c>
      <c r="E8" s="27">
        <v>0</v>
      </c>
      <c r="F8" s="38">
        <v>0</v>
      </c>
      <c r="G8" s="38">
        <v>0</v>
      </c>
      <c r="H8" s="38">
        <v>0</v>
      </c>
      <c r="I8" s="38">
        <v>0</v>
      </c>
      <c r="J8" s="27">
        <f t="shared" si="0"/>
        <v>320120</v>
      </c>
    </row>
    <row r="9" spans="1:10" x14ac:dyDescent="0.25">
      <c r="A9" s="1"/>
      <c r="B9" s="1" t="s">
        <v>123</v>
      </c>
      <c r="C9" s="27">
        <v>571500</v>
      </c>
      <c r="D9" s="27">
        <v>0</v>
      </c>
      <c r="E9" s="27">
        <v>0</v>
      </c>
      <c r="F9" s="38">
        <v>0</v>
      </c>
      <c r="G9" s="38">
        <v>0</v>
      </c>
      <c r="H9" s="38">
        <v>0</v>
      </c>
      <c r="I9" s="38">
        <v>0</v>
      </c>
      <c r="J9" s="27">
        <f t="shared" si="0"/>
        <v>571500</v>
      </c>
    </row>
    <row r="10" spans="1:10" x14ac:dyDescent="0.25">
      <c r="A10" s="1"/>
      <c r="B10" s="1" t="s">
        <v>381</v>
      </c>
      <c r="C10" s="27">
        <v>266500</v>
      </c>
      <c r="D10" s="27">
        <v>0</v>
      </c>
      <c r="E10" s="27">
        <v>0</v>
      </c>
      <c r="F10" s="38">
        <v>0</v>
      </c>
      <c r="G10" s="38">
        <v>0</v>
      </c>
      <c r="H10" s="38">
        <v>0</v>
      </c>
      <c r="I10" s="38">
        <v>0</v>
      </c>
      <c r="J10" s="27">
        <f t="shared" si="0"/>
        <v>266500</v>
      </c>
    </row>
    <row r="11" spans="1:10" x14ac:dyDescent="0.25">
      <c r="A11" s="1">
        <v>5</v>
      </c>
      <c r="B11" s="1" t="s">
        <v>84</v>
      </c>
      <c r="C11" s="27">
        <v>154708</v>
      </c>
      <c r="D11" s="27">
        <v>0</v>
      </c>
      <c r="E11" s="27">
        <v>0</v>
      </c>
      <c r="F11" s="38">
        <v>0</v>
      </c>
      <c r="G11" s="38">
        <v>0</v>
      </c>
      <c r="H11" s="38">
        <v>0</v>
      </c>
      <c r="I11" s="38">
        <v>0</v>
      </c>
      <c r="J11" s="27">
        <f t="shared" si="0"/>
        <v>154708</v>
      </c>
    </row>
    <row r="12" spans="1:10" x14ac:dyDescent="0.25">
      <c r="A12" s="1">
        <v>6</v>
      </c>
      <c r="B12" s="1" t="s">
        <v>109</v>
      </c>
      <c r="C12" s="27">
        <v>13741780</v>
      </c>
      <c r="D12" s="27">
        <v>0</v>
      </c>
      <c r="E12" s="27">
        <v>26601</v>
      </c>
      <c r="F12" s="27">
        <v>0</v>
      </c>
      <c r="G12" s="27">
        <v>0</v>
      </c>
      <c r="H12" s="27">
        <v>0</v>
      </c>
      <c r="I12" s="27"/>
      <c r="J12" s="27">
        <f t="shared" si="0"/>
        <v>13768381</v>
      </c>
    </row>
    <row r="13" spans="1:10" x14ac:dyDescent="0.25">
      <c r="A13" s="1">
        <v>7</v>
      </c>
      <c r="B13" s="1" t="s">
        <v>37</v>
      </c>
      <c r="C13" s="27">
        <v>5767700</v>
      </c>
      <c r="D13" s="27">
        <v>83000</v>
      </c>
      <c r="E13" s="27">
        <v>0</v>
      </c>
      <c r="F13" s="27">
        <v>54600</v>
      </c>
      <c r="G13" s="27">
        <v>62250</v>
      </c>
      <c r="H13" s="27">
        <v>0</v>
      </c>
      <c r="I13" s="27">
        <v>83000</v>
      </c>
      <c r="J13" s="27">
        <f t="shared" si="0"/>
        <v>6050550</v>
      </c>
    </row>
    <row r="14" spans="1:10" x14ac:dyDescent="0.25">
      <c r="A14" s="1">
        <v>8</v>
      </c>
      <c r="B14" s="1" t="s">
        <v>111</v>
      </c>
      <c r="C14" s="27">
        <v>4952683</v>
      </c>
      <c r="D14" s="27">
        <v>0</v>
      </c>
      <c r="E14" s="27">
        <v>0</v>
      </c>
      <c r="F14" s="27">
        <v>0</v>
      </c>
      <c r="G14" s="27">
        <v>0</v>
      </c>
      <c r="H14" s="27">
        <v>0</v>
      </c>
      <c r="I14" s="27"/>
      <c r="J14" s="27">
        <f t="shared" si="0"/>
        <v>4952683</v>
      </c>
    </row>
    <row r="15" spans="1:10" x14ac:dyDescent="0.25">
      <c r="A15" s="1">
        <v>9</v>
      </c>
      <c r="B15" s="1" t="s">
        <v>96</v>
      </c>
      <c r="C15" s="27">
        <v>1690450</v>
      </c>
      <c r="D15" s="27">
        <v>0</v>
      </c>
      <c r="E15" s="27">
        <v>29800</v>
      </c>
      <c r="F15" s="27">
        <v>0</v>
      </c>
      <c r="G15" s="27">
        <v>0</v>
      </c>
      <c r="H15" s="27">
        <v>29800</v>
      </c>
      <c r="I15" s="27"/>
      <c r="J15" s="27">
        <f t="shared" si="0"/>
        <v>1750050</v>
      </c>
    </row>
    <row r="16" spans="1:10" x14ac:dyDescent="0.25">
      <c r="A16" s="1">
        <v>10</v>
      </c>
      <c r="B16" s="1" t="s">
        <v>217</v>
      </c>
      <c r="C16" s="27">
        <v>781915</v>
      </c>
      <c r="D16" s="27">
        <v>5800</v>
      </c>
      <c r="E16" s="27">
        <v>0</v>
      </c>
      <c r="F16" s="27">
        <v>0</v>
      </c>
      <c r="G16" s="27">
        <v>0</v>
      </c>
      <c r="H16" s="27"/>
      <c r="I16" s="27"/>
      <c r="J16" s="27">
        <f t="shared" si="0"/>
        <v>787715</v>
      </c>
    </row>
    <row r="17" spans="1:10" x14ac:dyDescent="0.25">
      <c r="A17" s="1">
        <v>11</v>
      </c>
      <c r="B17" s="1" t="s">
        <v>336</v>
      </c>
      <c r="C17" s="27">
        <v>192980</v>
      </c>
      <c r="D17" s="27">
        <v>0</v>
      </c>
      <c r="E17" s="27">
        <v>0</v>
      </c>
      <c r="F17" s="27">
        <v>0</v>
      </c>
      <c r="G17" s="27">
        <v>0</v>
      </c>
      <c r="H17" s="27">
        <v>0</v>
      </c>
      <c r="I17" s="27"/>
      <c r="J17" s="27">
        <f t="shared" si="0"/>
        <v>192980</v>
      </c>
    </row>
    <row r="18" spans="1:10" x14ac:dyDescent="0.25">
      <c r="A18" s="1"/>
      <c r="B18" s="1" t="s">
        <v>108</v>
      </c>
      <c r="C18" s="27">
        <v>233734</v>
      </c>
      <c r="D18" s="27">
        <v>0</v>
      </c>
      <c r="E18" s="27">
        <v>7840</v>
      </c>
      <c r="F18" s="27">
        <v>0</v>
      </c>
      <c r="G18" s="27">
        <v>7840</v>
      </c>
      <c r="H18" s="27">
        <v>0</v>
      </c>
      <c r="I18" s="27">
        <v>7840</v>
      </c>
      <c r="J18" s="27">
        <f t="shared" si="0"/>
        <v>257254</v>
      </c>
    </row>
    <row r="19" spans="1:10" x14ac:dyDescent="0.25">
      <c r="A19" s="1"/>
      <c r="B19" s="1" t="s">
        <v>119</v>
      </c>
      <c r="C19" s="27">
        <v>576696</v>
      </c>
      <c r="D19" s="27">
        <v>0</v>
      </c>
      <c r="E19" s="27">
        <v>41118</v>
      </c>
      <c r="F19" s="27">
        <v>22952</v>
      </c>
      <c r="G19" s="27">
        <v>23800</v>
      </c>
      <c r="H19" s="27">
        <v>22053</v>
      </c>
      <c r="I19" s="27">
        <v>34140</v>
      </c>
      <c r="J19" s="27">
        <f t="shared" si="0"/>
        <v>720759</v>
      </c>
    </row>
    <row r="20" spans="1:10" x14ac:dyDescent="0.25">
      <c r="A20" s="1">
        <v>12</v>
      </c>
      <c r="B20" s="1" t="s">
        <v>331</v>
      </c>
      <c r="C20" s="27">
        <v>666220</v>
      </c>
      <c r="D20" s="27">
        <v>0</v>
      </c>
      <c r="E20" s="27">
        <v>0</v>
      </c>
      <c r="F20" s="27">
        <v>0</v>
      </c>
      <c r="G20" s="27">
        <v>10000</v>
      </c>
      <c r="H20" s="27"/>
      <c r="I20" s="27"/>
      <c r="J20" s="27">
        <f t="shared" si="0"/>
        <v>676220</v>
      </c>
    </row>
    <row r="21" spans="1:10" x14ac:dyDescent="0.25">
      <c r="A21" s="1">
        <v>13</v>
      </c>
      <c r="B21" s="1" t="s">
        <v>88</v>
      </c>
      <c r="C21" s="27">
        <v>169309</v>
      </c>
      <c r="D21" s="27"/>
      <c r="E21" s="27"/>
      <c r="F21" s="27"/>
      <c r="G21" s="27"/>
      <c r="H21" s="27"/>
      <c r="I21" s="27"/>
      <c r="J21" s="27">
        <f t="shared" si="0"/>
        <v>169309</v>
      </c>
    </row>
    <row r="22" spans="1:10" x14ac:dyDescent="0.25">
      <c r="A22" s="1">
        <v>14</v>
      </c>
      <c r="B22" s="1" t="s">
        <v>89</v>
      </c>
      <c r="C22" s="27">
        <v>104546</v>
      </c>
      <c r="D22" s="27">
        <v>0</v>
      </c>
      <c r="E22" s="27">
        <v>0</v>
      </c>
      <c r="F22" s="27">
        <v>0</v>
      </c>
      <c r="G22" s="27">
        <v>1005</v>
      </c>
      <c r="H22" s="27">
        <v>0</v>
      </c>
      <c r="I22" s="27"/>
      <c r="J22" s="27">
        <f t="shared" si="0"/>
        <v>105551</v>
      </c>
    </row>
    <row r="23" spans="1:10" x14ac:dyDescent="0.25">
      <c r="A23" s="1">
        <v>14</v>
      </c>
      <c r="B23" s="1" t="s">
        <v>90</v>
      </c>
      <c r="C23" s="27">
        <v>898500</v>
      </c>
      <c r="D23" s="27">
        <v>0</v>
      </c>
      <c r="E23" s="27">
        <v>0</v>
      </c>
      <c r="F23" s="27">
        <v>0</v>
      </c>
      <c r="G23" s="27">
        <v>0</v>
      </c>
      <c r="H23" s="27"/>
      <c r="I23" s="27">
        <v>0</v>
      </c>
      <c r="J23" s="27">
        <f t="shared" si="0"/>
        <v>898500</v>
      </c>
    </row>
    <row r="24" spans="1:10" x14ac:dyDescent="0.25">
      <c r="A24" s="1">
        <v>15</v>
      </c>
      <c r="B24" s="76" t="s">
        <v>120</v>
      </c>
      <c r="C24" s="27">
        <v>80483</v>
      </c>
      <c r="D24" s="27">
        <v>0</v>
      </c>
      <c r="E24" s="27">
        <v>0</v>
      </c>
      <c r="F24" s="27">
        <v>0</v>
      </c>
      <c r="G24" s="27">
        <v>0</v>
      </c>
      <c r="H24" s="27">
        <v>0</v>
      </c>
      <c r="I24" s="27">
        <v>0</v>
      </c>
      <c r="J24" s="27">
        <f t="shared" si="0"/>
        <v>80483</v>
      </c>
    </row>
    <row r="25" spans="1:10" x14ac:dyDescent="0.25">
      <c r="A25" s="1">
        <v>16</v>
      </c>
      <c r="B25" s="1" t="s">
        <v>128</v>
      </c>
      <c r="C25" s="27">
        <v>558212</v>
      </c>
      <c r="D25" s="27">
        <v>5767</v>
      </c>
      <c r="E25" s="27">
        <v>4950</v>
      </c>
      <c r="F25" s="27">
        <v>4031</v>
      </c>
      <c r="G25" s="27">
        <v>2020</v>
      </c>
      <c r="H25" s="27">
        <v>200</v>
      </c>
      <c r="I25" s="27">
        <v>1960</v>
      </c>
      <c r="J25" s="27">
        <f t="shared" si="0"/>
        <v>577140</v>
      </c>
    </row>
    <row r="26" spans="1:10" x14ac:dyDescent="0.25">
      <c r="A26" s="1">
        <v>17</v>
      </c>
      <c r="B26" s="1" t="s">
        <v>127</v>
      </c>
      <c r="C26" s="27">
        <v>44500</v>
      </c>
      <c r="D26" s="27">
        <v>0</v>
      </c>
      <c r="E26" s="27">
        <v>0</v>
      </c>
      <c r="F26" s="27">
        <v>2000</v>
      </c>
      <c r="G26" s="27"/>
      <c r="H26" s="27"/>
      <c r="I26" s="27">
        <v>0</v>
      </c>
      <c r="J26" s="27">
        <f t="shared" si="0"/>
        <v>46500</v>
      </c>
    </row>
    <row r="27" spans="1:10" x14ac:dyDescent="0.25">
      <c r="A27" s="1">
        <v>18</v>
      </c>
      <c r="B27" s="1" t="s">
        <v>129</v>
      </c>
      <c r="C27" s="27">
        <v>3777910</v>
      </c>
      <c r="D27" s="27">
        <f>83000+38000</f>
        <v>121000</v>
      </c>
      <c r="E27" s="27"/>
      <c r="F27" s="27"/>
      <c r="G27" s="27"/>
      <c r="H27" s="27"/>
      <c r="I27" s="27"/>
      <c r="J27" s="27">
        <f t="shared" si="0"/>
        <v>3898910</v>
      </c>
    </row>
    <row r="28" spans="1:10" x14ac:dyDescent="0.25">
      <c r="A28" s="1">
        <v>19</v>
      </c>
      <c r="B28" s="1" t="s">
        <v>157</v>
      </c>
      <c r="C28" s="27">
        <v>41976</v>
      </c>
      <c r="D28" s="27">
        <v>0</v>
      </c>
      <c r="E28" s="27">
        <v>0</v>
      </c>
      <c r="F28" s="27">
        <v>0</v>
      </c>
      <c r="G28" s="27"/>
      <c r="H28" s="27"/>
      <c r="I28" s="27"/>
      <c r="J28" s="27">
        <f t="shared" si="0"/>
        <v>41976</v>
      </c>
    </row>
    <row r="29" spans="1:10" x14ac:dyDescent="0.25">
      <c r="A29" s="1">
        <v>20</v>
      </c>
      <c r="B29" s="1" t="s">
        <v>158</v>
      </c>
      <c r="C29" s="27">
        <v>3880</v>
      </c>
      <c r="D29" s="27">
        <v>0</v>
      </c>
      <c r="E29" s="27">
        <v>0</v>
      </c>
      <c r="F29" s="27">
        <v>0</v>
      </c>
      <c r="G29" s="27"/>
      <c r="H29" s="27"/>
      <c r="I29" s="27">
        <v>0</v>
      </c>
      <c r="J29" s="27">
        <f t="shared" si="0"/>
        <v>3880</v>
      </c>
    </row>
    <row r="30" spans="1:10" x14ac:dyDescent="0.25">
      <c r="A30" s="66">
        <v>21</v>
      </c>
      <c r="B30" s="66" t="s">
        <v>209</v>
      </c>
      <c r="C30" s="27">
        <v>62573</v>
      </c>
      <c r="D30" s="27">
        <v>0</v>
      </c>
      <c r="E30" s="27">
        <v>0</v>
      </c>
      <c r="F30" s="27">
        <v>0</v>
      </c>
      <c r="G30" s="91">
        <v>0</v>
      </c>
      <c r="H30" s="91">
        <v>0</v>
      </c>
      <c r="I30" s="91">
        <v>0</v>
      </c>
      <c r="J30" s="91">
        <f t="shared" si="0"/>
        <v>62573</v>
      </c>
    </row>
    <row r="31" spans="1:10" x14ac:dyDescent="0.25">
      <c r="A31" s="66">
        <v>22</v>
      </c>
      <c r="B31" s="66" t="s">
        <v>210</v>
      </c>
      <c r="C31" s="27">
        <v>47610</v>
      </c>
      <c r="D31" s="27">
        <v>0</v>
      </c>
      <c r="E31" s="27">
        <v>0</v>
      </c>
      <c r="F31" s="27">
        <v>0</v>
      </c>
      <c r="G31" s="91">
        <v>0</v>
      </c>
      <c r="H31" s="91">
        <v>0</v>
      </c>
      <c r="I31" s="91">
        <v>0</v>
      </c>
      <c r="J31" s="91">
        <f t="shared" si="0"/>
        <v>47610</v>
      </c>
    </row>
    <row r="32" spans="1:10" x14ac:dyDescent="0.25">
      <c r="A32" s="3">
        <v>23</v>
      </c>
      <c r="B32" s="3" t="s">
        <v>130</v>
      </c>
      <c r="C32" s="28">
        <v>1812545</v>
      </c>
      <c r="D32" s="28">
        <v>0</v>
      </c>
      <c r="E32" s="28">
        <v>0</v>
      </c>
      <c r="F32" s="28">
        <v>0</v>
      </c>
      <c r="G32" s="28">
        <v>0</v>
      </c>
      <c r="H32" s="28">
        <v>0</v>
      </c>
      <c r="I32" s="28">
        <v>0</v>
      </c>
      <c r="J32" s="27">
        <f t="shared" si="0"/>
        <v>1812545</v>
      </c>
    </row>
    <row r="33" spans="1:10" x14ac:dyDescent="0.25">
      <c r="A33" s="3" t="s">
        <v>305</v>
      </c>
      <c r="B33" s="3" t="s">
        <v>306</v>
      </c>
      <c r="C33" s="28">
        <v>4543510</v>
      </c>
      <c r="D33" s="28">
        <v>74950</v>
      </c>
      <c r="E33" s="28">
        <v>40900</v>
      </c>
      <c r="F33" s="28">
        <v>106450</v>
      </c>
      <c r="G33" s="28">
        <v>106200</v>
      </c>
      <c r="H33" s="28">
        <v>170550</v>
      </c>
      <c r="I33" s="28">
        <v>33000</v>
      </c>
      <c r="J33" s="27">
        <f t="shared" si="0"/>
        <v>5075560</v>
      </c>
    </row>
    <row r="34" spans="1:10" x14ac:dyDescent="0.25">
      <c r="A34" s="1">
        <v>24</v>
      </c>
      <c r="B34" s="1" t="s">
        <v>216</v>
      </c>
      <c r="C34" s="27">
        <v>5927857</v>
      </c>
      <c r="D34" s="27">
        <v>185555</v>
      </c>
      <c r="E34" s="27">
        <v>46500</v>
      </c>
      <c r="F34" s="27">
        <v>93177</v>
      </c>
      <c r="G34" s="27">
        <v>95000</v>
      </c>
      <c r="H34" s="27">
        <v>94500</v>
      </c>
      <c r="I34" s="27">
        <v>94500</v>
      </c>
      <c r="J34" s="27">
        <f t="shared" si="0"/>
        <v>6537089</v>
      </c>
    </row>
    <row r="35" spans="1:10" x14ac:dyDescent="0.25">
      <c r="A35" s="1">
        <v>25</v>
      </c>
      <c r="B35" s="1" t="s">
        <v>282</v>
      </c>
      <c r="C35" s="27">
        <v>28500</v>
      </c>
      <c r="D35" s="27"/>
      <c r="E35" s="27">
        <v>0</v>
      </c>
      <c r="F35" s="38">
        <v>0</v>
      </c>
      <c r="G35" s="27">
        <v>3000</v>
      </c>
      <c r="H35" s="27">
        <v>0</v>
      </c>
      <c r="I35" s="27">
        <v>0</v>
      </c>
      <c r="J35" s="27">
        <f t="shared" si="0"/>
        <v>31500</v>
      </c>
    </row>
    <row r="36" spans="1:10" x14ac:dyDescent="0.25">
      <c r="A36" s="1"/>
      <c r="B36" s="3" t="s">
        <v>93</v>
      </c>
      <c r="C36" s="15">
        <f t="shared" ref="C36:J36" si="1">SUM(C5:C35)</f>
        <v>49003397</v>
      </c>
      <c r="D36" s="15">
        <f t="shared" si="1"/>
        <v>476072</v>
      </c>
      <c r="E36" s="15">
        <f t="shared" si="1"/>
        <v>197709</v>
      </c>
      <c r="F36" s="15">
        <f t="shared" si="1"/>
        <v>283210</v>
      </c>
      <c r="G36" s="15">
        <f t="shared" si="1"/>
        <v>311115</v>
      </c>
      <c r="H36" s="15">
        <f>SUM(H5:H35)</f>
        <v>317103</v>
      </c>
      <c r="I36" s="15">
        <f t="shared" si="1"/>
        <v>254440</v>
      </c>
      <c r="J36" s="15">
        <f t="shared" si="1"/>
        <v>50843046</v>
      </c>
    </row>
    <row r="38" spans="1:10" x14ac:dyDescent="0.25">
      <c r="A38" s="1"/>
      <c r="B38" s="3" t="s">
        <v>337</v>
      </c>
      <c r="C38" s="59" t="s">
        <v>424</v>
      </c>
      <c r="D38" s="13">
        <v>44013</v>
      </c>
      <c r="E38" s="13">
        <v>44044</v>
      </c>
      <c r="F38" s="13">
        <v>44075</v>
      </c>
      <c r="G38" s="13">
        <v>44105</v>
      </c>
      <c r="H38" s="13">
        <v>44136</v>
      </c>
      <c r="I38" s="13">
        <v>44166</v>
      </c>
      <c r="J38" s="1" t="s">
        <v>81</v>
      </c>
    </row>
    <row r="39" spans="1:10" x14ac:dyDescent="0.25">
      <c r="A39" s="1">
        <v>16</v>
      </c>
      <c r="B39" s="1" t="s">
        <v>92</v>
      </c>
      <c r="C39" s="14">
        <v>248482</v>
      </c>
      <c r="D39" s="14"/>
      <c r="E39" s="14">
        <v>0</v>
      </c>
      <c r="F39" s="14">
        <v>0</v>
      </c>
      <c r="G39" s="14">
        <v>0</v>
      </c>
      <c r="H39" s="27">
        <v>0</v>
      </c>
      <c r="I39" s="27"/>
      <c r="J39" s="14">
        <f t="shared" ref="J39:J60" si="2">SUM(C39:I39)</f>
        <v>248482</v>
      </c>
    </row>
    <row r="40" spans="1:10" x14ac:dyDescent="0.25">
      <c r="A40" s="1">
        <v>17</v>
      </c>
      <c r="B40" s="1" t="s">
        <v>97</v>
      </c>
      <c r="C40" s="14">
        <v>190000</v>
      </c>
      <c r="D40" s="14">
        <v>0</v>
      </c>
      <c r="E40" s="14">
        <v>0</v>
      </c>
      <c r="F40" s="14">
        <v>0</v>
      </c>
      <c r="G40" s="14">
        <v>0</v>
      </c>
      <c r="H40" s="27">
        <v>0</v>
      </c>
      <c r="I40" s="27"/>
      <c r="J40" s="14">
        <f t="shared" si="2"/>
        <v>190000</v>
      </c>
    </row>
    <row r="41" spans="1:10" x14ac:dyDescent="0.25">
      <c r="A41" s="1">
        <v>18</v>
      </c>
      <c r="B41" s="1" t="s">
        <v>98</v>
      </c>
      <c r="C41" s="14">
        <v>119415</v>
      </c>
      <c r="D41" s="14">
        <v>1103</v>
      </c>
      <c r="E41" s="14">
        <v>1102</v>
      </c>
      <c r="F41" s="14">
        <v>908</v>
      </c>
      <c r="G41" s="14">
        <v>900</v>
      </c>
      <c r="H41" s="27">
        <v>803</v>
      </c>
      <c r="I41" s="27">
        <v>805</v>
      </c>
      <c r="J41" s="14">
        <f t="shared" si="2"/>
        <v>125036</v>
      </c>
    </row>
    <row r="42" spans="1:10" x14ac:dyDescent="0.25">
      <c r="A42" s="1">
        <v>19</v>
      </c>
      <c r="B42" s="1" t="s">
        <v>46</v>
      </c>
      <c r="C42" s="14">
        <v>79446</v>
      </c>
      <c r="D42" s="14">
        <v>370</v>
      </c>
      <c r="E42" s="14">
        <v>540</v>
      </c>
      <c r="F42" s="14">
        <v>500</v>
      </c>
      <c r="G42" s="14">
        <v>1045</v>
      </c>
      <c r="H42" s="27">
        <v>200</v>
      </c>
      <c r="I42" s="27">
        <v>495</v>
      </c>
      <c r="J42" s="14">
        <f t="shared" si="2"/>
        <v>82596</v>
      </c>
    </row>
    <row r="43" spans="1:10" x14ac:dyDescent="0.25">
      <c r="A43" s="1">
        <v>20</v>
      </c>
      <c r="B43" s="1" t="s">
        <v>14</v>
      </c>
      <c r="C43" s="14">
        <v>126306</v>
      </c>
      <c r="D43" s="14">
        <v>770</v>
      </c>
      <c r="E43" s="14">
        <v>1025</v>
      </c>
      <c r="F43" s="14">
        <v>1175</v>
      </c>
      <c r="G43" s="14">
        <v>3280</v>
      </c>
      <c r="H43" s="27">
        <v>570</v>
      </c>
      <c r="I43" s="27">
        <v>665</v>
      </c>
      <c r="J43" s="14">
        <f t="shared" si="2"/>
        <v>133791</v>
      </c>
    </row>
    <row r="44" spans="1:10" x14ac:dyDescent="0.25">
      <c r="A44" s="3">
        <v>21</v>
      </c>
      <c r="B44" s="3" t="s">
        <v>376</v>
      </c>
      <c r="C44" s="14">
        <v>800959</v>
      </c>
      <c r="D44" s="14">
        <v>0</v>
      </c>
      <c r="E44" s="14">
        <v>32268</v>
      </c>
      <c r="F44" s="14">
        <v>14066</v>
      </c>
      <c r="G44" s="14">
        <v>38180</v>
      </c>
      <c r="H44" s="27">
        <v>0</v>
      </c>
      <c r="I44" s="27">
        <v>41200</v>
      </c>
      <c r="J44" s="14">
        <f t="shared" si="2"/>
        <v>926673</v>
      </c>
    </row>
    <row r="45" spans="1:10" x14ac:dyDescent="0.25">
      <c r="A45" s="3"/>
      <c r="B45" s="3" t="s">
        <v>348</v>
      </c>
      <c r="C45" s="14">
        <v>99500</v>
      </c>
      <c r="D45" s="14">
        <v>0</v>
      </c>
      <c r="E45" s="14">
        <v>0</v>
      </c>
      <c r="F45" s="14">
        <v>0</v>
      </c>
      <c r="G45" s="14">
        <v>0</v>
      </c>
      <c r="H45" s="27">
        <v>0</v>
      </c>
      <c r="I45" s="27"/>
      <c r="J45" s="14">
        <f t="shared" si="2"/>
        <v>99500</v>
      </c>
    </row>
    <row r="46" spans="1:10" x14ac:dyDescent="0.25">
      <c r="A46" s="1">
        <v>22</v>
      </c>
      <c r="B46" s="1" t="s">
        <v>333</v>
      </c>
      <c r="C46" s="14">
        <v>510424</v>
      </c>
      <c r="D46" s="14">
        <v>5038</v>
      </c>
      <c r="E46" s="14">
        <v>24941</v>
      </c>
      <c r="F46" s="14">
        <v>628</v>
      </c>
      <c r="G46" s="14">
        <v>19112</v>
      </c>
      <c r="H46" s="27">
        <v>3054</v>
      </c>
      <c r="I46" s="27">
        <v>13650</v>
      </c>
      <c r="J46" s="14">
        <f t="shared" si="2"/>
        <v>576847</v>
      </c>
    </row>
    <row r="47" spans="1:10" x14ac:dyDescent="0.25">
      <c r="A47" s="1">
        <v>23</v>
      </c>
      <c r="B47" s="1" t="s">
        <v>352</v>
      </c>
      <c r="C47" s="14">
        <v>575900</v>
      </c>
      <c r="D47" s="14">
        <v>15000</v>
      </c>
      <c r="E47" s="14">
        <v>149400</v>
      </c>
      <c r="F47" s="14">
        <v>8090</v>
      </c>
      <c r="G47" s="14">
        <v>0</v>
      </c>
      <c r="H47" s="27">
        <v>54300</v>
      </c>
      <c r="I47" s="27"/>
      <c r="J47" s="14">
        <f t="shared" si="2"/>
        <v>802690</v>
      </c>
    </row>
    <row r="48" spans="1:10" x14ac:dyDescent="0.25">
      <c r="A48" s="1"/>
      <c r="B48" s="3" t="s">
        <v>353</v>
      </c>
      <c r="C48" s="14">
        <v>134090</v>
      </c>
      <c r="D48" s="14">
        <v>0</v>
      </c>
      <c r="E48" s="14">
        <v>0</v>
      </c>
      <c r="F48" s="14">
        <v>0</v>
      </c>
      <c r="G48" s="14">
        <v>0</v>
      </c>
      <c r="H48" s="27">
        <v>0</v>
      </c>
      <c r="I48" s="27"/>
      <c r="J48" s="14">
        <f>SUM(C48:I48)</f>
        <v>134090</v>
      </c>
    </row>
    <row r="49" spans="1:10" x14ac:dyDescent="0.25">
      <c r="A49" s="1"/>
      <c r="B49" s="3" t="s">
        <v>419</v>
      </c>
      <c r="C49" s="1">
        <v>32000</v>
      </c>
      <c r="D49" s="1">
        <v>0</v>
      </c>
      <c r="E49" s="14">
        <v>8000</v>
      </c>
      <c r="F49" s="1">
        <v>32000</v>
      </c>
      <c r="G49" s="1">
        <v>4000</v>
      </c>
      <c r="H49" s="1">
        <v>0</v>
      </c>
      <c r="I49" s="1">
        <v>21200</v>
      </c>
      <c r="J49" s="14">
        <f>SUM(C49:I49)</f>
        <v>97200</v>
      </c>
    </row>
    <row r="50" spans="1:10" x14ac:dyDescent="0.25">
      <c r="A50" s="1">
        <v>24</v>
      </c>
      <c r="B50" s="1" t="s">
        <v>351</v>
      </c>
      <c r="C50" s="14">
        <v>559810</v>
      </c>
      <c r="D50" s="14">
        <v>0</v>
      </c>
      <c r="E50" s="14">
        <v>700</v>
      </c>
      <c r="F50" s="14"/>
      <c r="G50" s="14">
        <v>10800</v>
      </c>
      <c r="H50" s="27">
        <v>0</v>
      </c>
      <c r="I50" s="27">
        <v>22342</v>
      </c>
      <c r="J50" s="14">
        <f t="shared" si="2"/>
        <v>593652</v>
      </c>
    </row>
    <row r="51" spans="1:10" x14ac:dyDescent="0.25">
      <c r="A51" s="1"/>
      <c r="B51" s="3" t="s">
        <v>350</v>
      </c>
      <c r="C51" s="14">
        <v>211000</v>
      </c>
      <c r="D51" s="14">
        <v>0</v>
      </c>
      <c r="E51" s="14">
        <v>0</v>
      </c>
      <c r="F51" s="14">
        <v>5000</v>
      </c>
      <c r="G51" s="14">
        <v>11500</v>
      </c>
      <c r="H51" s="27">
        <v>0</v>
      </c>
      <c r="I51" s="27">
        <v>8000</v>
      </c>
      <c r="J51" s="14">
        <f t="shared" si="2"/>
        <v>235500</v>
      </c>
    </row>
    <row r="52" spans="1:10" x14ac:dyDescent="0.25">
      <c r="A52" s="1">
        <v>25</v>
      </c>
      <c r="B52" s="1" t="s">
        <v>347</v>
      </c>
      <c r="C52" s="14">
        <v>538018</v>
      </c>
      <c r="D52" s="14">
        <v>26970</v>
      </c>
      <c r="E52" s="14">
        <v>29880</v>
      </c>
      <c r="F52" s="14">
        <v>0</v>
      </c>
      <c r="G52" s="14">
        <v>7312</v>
      </c>
      <c r="H52" s="27">
        <v>0</v>
      </c>
      <c r="I52" s="27"/>
      <c r="J52" s="14">
        <f t="shared" si="2"/>
        <v>602180</v>
      </c>
    </row>
    <row r="53" spans="1:10" x14ac:dyDescent="0.25">
      <c r="A53" s="1" t="s">
        <v>390</v>
      </c>
      <c r="B53" s="3" t="s">
        <v>391</v>
      </c>
      <c r="C53" s="14">
        <v>171000</v>
      </c>
      <c r="D53" s="14"/>
      <c r="E53" s="14"/>
      <c r="F53" s="14"/>
      <c r="G53" s="14"/>
      <c r="H53" s="27"/>
      <c r="I53" s="27"/>
      <c r="J53" s="14">
        <f t="shared" si="2"/>
        <v>171000</v>
      </c>
    </row>
    <row r="54" spans="1:10" x14ac:dyDescent="0.25">
      <c r="A54" s="1">
        <v>26</v>
      </c>
      <c r="B54" s="1" t="s">
        <v>349</v>
      </c>
      <c r="C54" s="14">
        <v>50692</v>
      </c>
      <c r="D54" s="14">
        <v>0</v>
      </c>
      <c r="E54" s="14">
        <v>0</v>
      </c>
      <c r="F54" s="14">
        <v>0</v>
      </c>
      <c r="G54" s="14">
        <v>0</v>
      </c>
      <c r="H54" s="27">
        <v>0</v>
      </c>
      <c r="I54" s="27"/>
      <c r="J54" s="14">
        <f t="shared" si="2"/>
        <v>50692</v>
      </c>
    </row>
    <row r="55" spans="1:10" x14ac:dyDescent="0.25">
      <c r="A55" s="1">
        <v>27</v>
      </c>
      <c r="B55" s="1" t="s">
        <v>354</v>
      </c>
      <c r="C55" s="14">
        <v>119420</v>
      </c>
      <c r="D55" s="14">
        <v>0</v>
      </c>
      <c r="E55" s="14">
        <v>0</v>
      </c>
      <c r="F55" s="14">
        <v>11045</v>
      </c>
      <c r="G55" s="14">
        <v>16740</v>
      </c>
      <c r="H55" s="27">
        <v>0</v>
      </c>
      <c r="I55" s="27"/>
      <c r="J55" s="14">
        <f t="shared" si="2"/>
        <v>147205</v>
      </c>
    </row>
    <row r="56" spans="1:10" x14ac:dyDescent="0.25">
      <c r="A56" s="1">
        <v>28</v>
      </c>
      <c r="B56" s="3" t="s">
        <v>382</v>
      </c>
      <c r="C56" s="14">
        <v>92000</v>
      </c>
      <c r="D56" s="14">
        <v>0</v>
      </c>
      <c r="E56" s="14">
        <v>10000</v>
      </c>
      <c r="F56" s="14">
        <v>0</v>
      </c>
      <c r="G56" s="14">
        <v>10000</v>
      </c>
      <c r="H56" s="27">
        <v>4000</v>
      </c>
      <c r="I56" s="27"/>
      <c r="J56" s="14">
        <f t="shared" si="2"/>
        <v>116000</v>
      </c>
    </row>
    <row r="57" spans="1:10" x14ac:dyDescent="0.25">
      <c r="A57" s="1">
        <v>29</v>
      </c>
      <c r="B57" s="3" t="s">
        <v>355</v>
      </c>
      <c r="C57" s="14">
        <v>301000</v>
      </c>
      <c r="D57" s="14">
        <v>0</v>
      </c>
      <c r="E57" s="14">
        <v>0</v>
      </c>
      <c r="F57" s="14">
        <v>20000</v>
      </c>
      <c r="G57" s="14">
        <v>20000</v>
      </c>
      <c r="H57" s="27">
        <v>38000</v>
      </c>
      <c r="I57" s="27"/>
      <c r="J57" s="14">
        <f t="shared" ref="J57" si="3">SUM(C57:I57)</f>
        <v>379000</v>
      </c>
    </row>
    <row r="58" spans="1:10" x14ac:dyDescent="0.25">
      <c r="A58" s="1">
        <v>30</v>
      </c>
      <c r="B58" s="3" t="s">
        <v>428</v>
      </c>
      <c r="C58" s="14">
        <v>0</v>
      </c>
      <c r="D58" s="14">
        <v>0</v>
      </c>
      <c r="E58" s="14">
        <v>0</v>
      </c>
      <c r="F58" s="14">
        <v>0</v>
      </c>
      <c r="G58" s="14">
        <v>200000</v>
      </c>
      <c r="H58" s="27">
        <v>150000</v>
      </c>
      <c r="I58" s="27"/>
      <c r="J58" s="14">
        <f t="shared" si="2"/>
        <v>350000</v>
      </c>
    </row>
    <row r="59" spans="1:10" x14ac:dyDescent="0.25">
      <c r="A59" s="1">
        <v>31</v>
      </c>
      <c r="B59" s="38" t="s">
        <v>275</v>
      </c>
      <c r="C59" s="77">
        <v>3983400</v>
      </c>
      <c r="D59" s="77">
        <v>0</v>
      </c>
      <c r="E59" s="77">
        <v>0</v>
      </c>
      <c r="F59" s="77">
        <v>0</v>
      </c>
      <c r="G59" s="77">
        <v>0</v>
      </c>
      <c r="H59" s="79">
        <v>0</v>
      </c>
      <c r="I59" s="79"/>
      <c r="J59" s="77">
        <f t="shared" si="2"/>
        <v>3983400</v>
      </c>
    </row>
    <row r="60" spans="1:10" x14ac:dyDescent="0.25">
      <c r="A60" s="1">
        <v>32</v>
      </c>
      <c r="B60" s="1" t="s">
        <v>314</v>
      </c>
      <c r="C60" s="77">
        <v>835000</v>
      </c>
      <c r="D60" s="77">
        <v>0</v>
      </c>
      <c r="E60" s="77">
        <v>0</v>
      </c>
      <c r="F60" s="77">
        <v>0</v>
      </c>
      <c r="G60" s="77">
        <v>0</v>
      </c>
      <c r="H60" s="79">
        <v>0</v>
      </c>
      <c r="I60" s="79"/>
      <c r="J60" s="77">
        <f t="shared" si="2"/>
        <v>835000</v>
      </c>
    </row>
    <row r="61" spans="1:10" x14ac:dyDescent="0.25">
      <c r="A61" s="1"/>
      <c r="B61" s="3" t="s">
        <v>93</v>
      </c>
      <c r="C61" s="74">
        <f t="shared" ref="C61:J61" si="4">SUM(C39:C58)</f>
        <v>4959462</v>
      </c>
      <c r="D61" s="74">
        <f t="shared" si="4"/>
        <v>49251</v>
      </c>
      <c r="E61" s="74">
        <f t="shared" si="4"/>
        <v>257856</v>
      </c>
      <c r="F61" s="74">
        <f t="shared" si="4"/>
        <v>93412</v>
      </c>
      <c r="G61" s="74">
        <f t="shared" si="4"/>
        <v>342869</v>
      </c>
      <c r="H61" s="74">
        <f t="shared" si="4"/>
        <v>250927</v>
      </c>
      <c r="I61" s="74">
        <f t="shared" si="4"/>
        <v>108357</v>
      </c>
      <c r="J61" s="74">
        <f t="shared" si="4"/>
        <v>6062134</v>
      </c>
    </row>
    <row r="62" spans="1:10" ht="15.75" x14ac:dyDescent="0.25">
      <c r="A62" s="1"/>
      <c r="B62" s="8" t="s">
        <v>94</v>
      </c>
      <c r="C62" s="16">
        <f t="shared" ref="C62:I62" si="5">C36+C61</f>
        <v>53962859</v>
      </c>
      <c r="D62" s="16">
        <f t="shared" si="5"/>
        <v>525323</v>
      </c>
      <c r="E62" s="16">
        <f t="shared" si="5"/>
        <v>455565</v>
      </c>
      <c r="F62" s="16">
        <f t="shared" si="5"/>
        <v>376622</v>
      </c>
      <c r="G62" s="16">
        <f t="shared" si="5"/>
        <v>653984</v>
      </c>
      <c r="H62" s="16">
        <f t="shared" si="5"/>
        <v>568030</v>
      </c>
      <c r="I62" s="16">
        <f t="shared" si="5"/>
        <v>362797</v>
      </c>
      <c r="J62" s="16">
        <f>SUM(J36+J61)</f>
        <v>56905180</v>
      </c>
    </row>
    <row r="63" spans="1:10" x14ac:dyDescent="0.25">
      <c r="J63" s="12"/>
    </row>
    <row r="64" spans="1:10" x14ac:dyDescent="0.25">
      <c r="J64" s="26"/>
    </row>
    <row r="69" spans="1:10" ht="18.75" x14ac:dyDescent="0.3">
      <c r="B69" s="5"/>
    </row>
    <row r="70" spans="1:10" ht="18.75" x14ac:dyDescent="0.3">
      <c r="B70" s="5"/>
    </row>
    <row r="71" spans="1:10" ht="18.75" x14ac:dyDescent="0.3">
      <c r="B71" s="5"/>
    </row>
    <row r="72" spans="1:10" x14ac:dyDescent="0.25">
      <c r="A72" s="61"/>
      <c r="B72" s="61"/>
      <c r="C72" s="80"/>
      <c r="D72" s="60"/>
      <c r="E72" s="60"/>
      <c r="F72" s="60"/>
      <c r="G72" s="61"/>
    </row>
    <row r="73" spans="1:10" ht="18.75" x14ac:dyDescent="0.3">
      <c r="B73" s="5" t="s">
        <v>80</v>
      </c>
    </row>
    <row r="74" spans="1:10" ht="18.75" x14ac:dyDescent="0.3">
      <c r="B74" s="5" t="s">
        <v>64</v>
      </c>
    </row>
    <row r="75" spans="1:10" ht="18.75" x14ac:dyDescent="0.3">
      <c r="B75" s="5" t="s">
        <v>271</v>
      </c>
    </row>
    <row r="76" spans="1:10" ht="18.75" x14ac:dyDescent="0.3">
      <c r="B76" s="5" t="s">
        <v>430</v>
      </c>
    </row>
    <row r="77" spans="1:10" ht="18.75" x14ac:dyDescent="0.3">
      <c r="B77" s="5"/>
    </row>
    <row r="78" spans="1:10" x14ac:dyDescent="0.25">
      <c r="A78" s="3" t="s">
        <v>163</v>
      </c>
      <c r="B78" s="3" t="s">
        <v>164</v>
      </c>
      <c r="C78" s="59" t="s">
        <v>424</v>
      </c>
      <c r="D78" s="13">
        <v>44013</v>
      </c>
      <c r="E78" s="13">
        <v>44044</v>
      </c>
      <c r="F78" s="13">
        <v>44075</v>
      </c>
      <c r="G78" s="13">
        <v>44105</v>
      </c>
      <c r="H78" s="13">
        <v>44136</v>
      </c>
      <c r="I78" s="13">
        <v>44166</v>
      </c>
      <c r="J78" s="1" t="s">
        <v>81</v>
      </c>
    </row>
    <row r="79" spans="1:10" x14ac:dyDescent="0.25">
      <c r="A79" s="38">
        <v>1</v>
      </c>
      <c r="B79" s="1" t="s">
        <v>199</v>
      </c>
      <c r="C79" s="14">
        <v>491500</v>
      </c>
      <c r="D79" s="1"/>
      <c r="E79" s="1"/>
      <c r="F79" s="1"/>
      <c r="G79" s="70"/>
      <c r="H79" s="1"/>
      <c r="I79" s="1"/>
      <c r="J79" s="70">
        <f>SUM(C79:I79)</f>
        <v>491500</v>
      </c>
    </row>
    <row r="80" spans="1:10" x14ac:dyDescent="0.25">
      <c r="A80" s="38"/>
      <c r="B80" s="1" t="s">
        <v>202</v>
      </c>
      <c r="C80" s="14">
        <v>105000</v>
      </c>
      <c r="D80" s="1"/>
      <c r="E80" s="1"/>
      <c r="F80" s="1"/>
      <c r="G80" s="70"/>
      <c r="H80" s="1"/>
      <c r="I80" s="1"/>
      <c r="J80" s="70">
        <f t="shared" ref="J80:J85" si="6">SUM(C80:I80)</f>
        <v>105000</v>
      </c>
    </row>
    <row r="81" spans="1:10" x14ac:dyDescent="0.25">
      <c r="A81" s="38">
        <v>2</v>
      </c>
      <c r="B81" s="1" t="s">
        <v>223</v>
      </c>
      <c r="C81" s="14">
        <v>1874900</v>
      </c>
      <c r="D81" s="1">
        <v>504000</v>
      </c>
      <c r="E81" s="1"/>
      <c r="F81" s="1"/>
      <c r="G81" s="70"/>
      <c r="H81" s="1"/>
      <c r="I81" s="1"/>
      <c r="J81" s="70">
        <f t="shared" si="6"/>
        <v>2378900</v>
      </c>
    </row>
    <row r="82" spans="1:10" x14ac:dyDescent="0.25">
      <c r="A82" s="38">
        <v>3</v>
      </c>
      <c r="B82" s="1" t="s">
        <v>222</v>
      </c>
      <c r="C82" s="14">
        <v>565000</v>
      </c>
      <c r="D82" s="1"/>
      <c r="E82" s="1"/>
      <c r="F82" s="1"/>
      <c r="G82" s="70"/>
      <c r="H82" s="1"/>
      <c r="I82" s="1"/>
      <c r="J82" s="70">
        <f t="shared" si="6"/>
        <v>565000</v>
      </c>
    </row>
    <row r="83" spans="1:10" x14ac:dyDescent="0.25">
      <c r="A83" s="38">
        <v>4</v>
      </c>
      <c r="B83" s="1" t="s">
        <v>231</v>
      </c>
      <c r="C83" s="14">
        <v>536000</v>
      </c>
      <c r="D83" s="1"/>
      <c r="E83" s="1"/>
      <c r="F83" s="1"/>
      <c r="G83" s="70"/>
      <c r="H83" s="1"/>
      <c r="I83" s="1"/>
      <c r="J83" s="70">
        <f t="shared" si="6"/>
        <v>536000</v>
      </c>
    </row>
    <row r="84" spans="1:10" x14ac:dyDescent="0.25">
      <c r="A84" s="38">
        <v>5</v>
      </c>
      <c r="B84" s="38" t="s">
        <v>241</v>
      </c>
      <c r="C84" s="27">
        <v>700000</v>
      </c>
      <c r="D84" s="1"/>
      <c r="E84" s="1"/>
      <c r="F84" s="1"/>
      <c r="G84" s="72"/>
      <c r="H84" s="1"/>
      <c r="I84" s="1"/>
      <c r="J84" s="70">
        <f t="shared" si="6"/>
        <v>700000</v>
      </c>
    </row>
    <row r="85" spans="1:10" x14ac:dyDescent="0.25">
      <c r="A85" s="38">
        <v>6</v>
      </c>
      <c r="B85" s="38" t="s">
        <v>309</v>
      </c>
      <c r="C85" s="27">
        <v>20000</v>
      </c>
      <c r="D85" s="1"/>
      <c r="E85" s="1"/>
      <c r="F85" s="1"/>
      <c r="G85" s="72"/>
      <c r="H85" s="1"/>
      <c r="I85" s="1"/>
      <c r="J85" s="70">
        <f t="shared" si="6"/>
        <v>20000</v>
      </c>
    </row>
    <row r="86" spans="1:10" x14ac:dyDescent="0.25">
      <c r="A86" s="1"/>
      <c r="B86" s="71" t="s">
        <v>138</v>
      </c>
      <c r="C86" s="15">
        <f>SUM(C79:C85)</f>
        <v>4292400</v>
      </c>
      <c r="D86" s="15">
        <f>SUM(D79:D84)</f>
        <v>504000</v>
      </c>
      <c r="E86" s="15">
        <f>SUM(E79:E85)</f>
        <v>0</v>
      </c>
      <c r="F86" s="15">
        <f>SUM(F79:F84)</f>
        <v>0</v>
      </c>
      <c r="G86" s="15">
        <f>SUM(G79:G84)</f>
        <v>0</v>
      </c>
      <c r="H86" s="1"/>
      <c r="I86" s="15">
        <f>SUM(I79:I85)</f>
        <v>0</v>
      </c>
      <c r="J86" s="15">
        <f>SUM(J79:J85)</f>
        <v>4796400</v>
      </c>
    </row>
    <row r="87" spans="1:10" x14ac:dyDescent="0.25">
      <c r="A87" s="22"/>
      <c r="B87" s="85"/>
      <c r="C87" s="86"/>
      <c r="D87" s="86"/>
      <c r="E87" s="86"/>
      <c r="F87" s="86"/>
      <c r="G87" s="86"/>
      <c r="H87" s="22"/>
      <c r="I87" s="22"/>
      <c r="J87" s="86"/>
    </row>
    <row r="88" spans="1:10" x14ac:dyDescent="0.25">
      <c r="A88" s="22"/>
      <c r="B88" s="85"/>
      <c r="C88" s="86"/>
      <c r="D88" s="86"/>
      <c r="E88" s="86"/>
      <c r="F88" s="86"/>
      <c r="G88" s="86"/>
      <c r="H88" s="22"/>
      <c r="I88" s="22"/>
      <c r="J88" s="86"/>
    </row>
    <row r="89" spans="1:10" ht="18.75" x14ac:dyDescent="0.3">
      <c r="B89" s="5" t="s">
        <v>80</v>
      </c>
    </row>
    <row r="90" spans="1:10" ht="18.75" x14ac:dyDescent="0.3">
      <c r="B90" s="5" t="s">
        <v>64</v>
      </c>
    </row>
    <row r="91" spans="1:10" ht="18.75" x14ac:dyDescent="0.3">
      <c r="B91" s="5" t="s">
        <v>272</v>
      </c>
    </row>
    <row r="92" spans="1:10" ht="18.75" x14ac:dyDescent="0.3">
      <c r="B92" s="5" t="s">
        <v>430</v>
      </c>
    </row>
    <row r="93" spans="1:10" ht="18.75" x14ac:dyDescent="0.3">
      <c r="B93" s="5"/>
    </row>
    <row r="94" spans="1:10" x14ac:dyDescent="0.25">
      <c r="A94" s="3" t="s">
        <v>163</v>
      </c>
      <c r="B94" s="3" t="s">
        <v>164</v>
      </c>
      <c r="C94" s="59" t="s">
        <v>424</v>
      </c>
      <c r="D94" s="13">
        <v>44013</v>
      </c>
      <c r="E94" s="13">
        <v>44044</v>
      </c>
      <c r="F94" s="13">
        <v>44075</v>
      </c>
      <c r="G94" s="13">
        <v>44105</v>
      </c>
      <c r="H94" s="13">
        <v>44136</v>
      </c>
      <c r="I94" s="13">
        <v>44166</v>
      </c>
      <c r="J94" s="1" t="s">
        <v>81</v>
      </c>
    </row>
    <row r="95" spans="1:10" x14ac:dyDescent="0.25">
      <c r="A95" s="38">
        <v>1</v>
      </c>
      <c r="B95" s="1" t="s">
        <v>199</v>
      </c>
      <c r="C95" s="14"/>
      <c r="D95" s="1"/>
      <c r="E95" s="1"/>
      <c r="F95" s="1"/>
      <c r="G95" s="70"/>
      <c r="H95" s="1"/>
      <c r="I95" s="1"/>
      <c r="J95" s="70">
        <f>SUM(C95:I95)</f>
        <v>0</v>
      </c>
    </row>
    <row r="96" spans="1:10" x14ac:dyDescent="0.25">
      <c r="A96" s="38"/>
      <c r="B96" s="1" t="s">
        <v>202</v>
      </c>
      <c r="C96" s="14">
        <v>0</v>
      </c>
      <c r="D96" s="1"/>
      <c r="E96" s="1"/>
      <c r="F96" s="1"/>
      <c r="G96" s="70"/>
      <c r="H96" s="1"/>
      <c r="I96" s="1"/>
      <c r="J96" s="70">
        <f t="shared" ref="J96:J101" si="7">SUM(C96:I96)</f>
        <v>0</v>
      </c>
    </row>
    <row r="97" spans="1:10" x14ac:dyDescent="0.25">
      <c r="A97" s="38">
        <v>2</v>
      </c>
      <c r="B97" s="1" t="s">
        <v>223</v>
      </c>
      <c r="C97" s="14">
        <v>2378900</v>
      </c>
      <c r="D97" s="1"/>
      <c r="E97" s="1"/>
      <c r="F97" s="1"/>
      <c r="G97" s="70"/>
      <c r="H97" s="1"/>
      <c r="I97" s="1"/>
      <c r="J97" s="70">
        <f t="shared" si="7"/>
        <v>2378900</v>
      </c>
    </row>
    <row r="98" spans="1:10" x14ac:dyDescent="0.25">
      <c r="A98" s="38">
        <v>3</v>
      </c>
      <c r="B98" s="1" t="s">
        <v>222</v>
      </c>
      <c r="C98" s="14">
        <v>565000</v>
      </c>
      <c r="D98" s="1"/>
      <c r="E98" s="1"/>
      <c r="F98" s="1"/>
      <c r="G98" s="70"/>
      <c r="H98" s="1"/>
      <c r="I98" s="1"/>
      <c r="J98" s="70">
        <f t="shared" si="7"/>
        <v>565000</v>
      </c>
    </row>
    <row r="99" spans="1:10" x14ac:dyDescent="0.25">
      <c r="A99" s="38">
        <v>4</v>
      </c>
      <c r="B99" s="1" t="s">
        <v>231</v>
      </c>
      <c r="C99" s="14">
        <v>536000</v>
      </c>
      <c r="D99" s="1"/>
      <c r="E99" s="1"/>
      <c r="F99" s="1"/>
      <c r="G99" s="70"/>
      <c r="H99" s="1"/>
      <c r="I99" s="1"/>
      <c r="J99" s="70">
        <f t="shared" si="7"/>
        <v>536000</v>
      </c>
    </row>
    <row r="100" spans="1:10" x14ac:dyDescent="0.25">
      <c r="A100" s="38">
        <v>5</v>
      </c>
      <c r="B100" s="38" t="s">
        <v>241</v>
      </c>
      <c r="C100" s="27">
        <v>700000</v>
      </c>
      <c r="D100" s="70"/>
      <c r="E100" s="1"/>
      <c r="F100" s="1"/>
      <c r="G100" s="72"/>
      <c r="H100" s="1"/>
      <c r="I100" s="1"/>
      <c r="J100" s="70">
        <f t="shared" si="7"/>
        <v>700000</v>
      </c>
    </row>
    <row r="101" spans="1:10" x14ac:dyDescent="0.25">
      <c r="A101" s="38">
        <v>6</v>
      </c>
      <c r="B101" s="38" t="s">
        <v>309</v>
      </c>
      <c r="C101" s="27">
        <v>20000</v>
      </c>
      <c r="D101" s="70"/>
      <c r="E101" s="1"/>
      <c r="F101" s="1"/>
      <c r="G101" s="72"/>
      <c r="H101" s="1"/>
      <c r="I101" s="1"/>
      <c r="J101" s="70">
        <f t="shared" si="7"/>
        <v>20000</v>
      </c>
    </row>
    <row r="102" spans="1:10" x14ac:dyDescent="0.25">
      <c r="A102" s="1"/>
      <c r="B102" s="71" t="s">
        <v>138</v>
      </c>
      <c r="C102" s="70">
        <f>SUM(C95:C101)</f>
        <v>4199900</v>
      </c>
      <c r="D102" s="15">
        <f>SUM(D95:D101)</f>
        <v>0</v>
      </c>
      <c r="E102" s="15">
        <f>SUM(E95:E100)</f>
        <v>0</v>
      </c>
      <c r="F102" s="15">
        <f>SUM(F95:F100)</f>
        <v>0</v>
      </c>
      <c r="G102" s="15">
        <f>SUM(G95:G100)</f>
        <v>0</v>
      </c>
      <c r="H102" s="15">
        <f>SUM(H95:H100)</f>
        <v>0</v>
      </c>
      <c r="I102" s="15">
        <f>SUM(I95:I100)</f>
        <v>0</v>
      </c>
      <c r="J102" s="70">
        <f>SUM(J95:J101)</f>
        <v>4199900</v>
      </c>
    </row>
    <row r="106" spans="1:10" ht="18.75" x14ac:dyDescent="0.3">
      <c r="B106" s="5" t="s">
        <v>80</v>
      </c>
    </row>
    <row r="107" spans="1:10" ht="18.75" x14ac:dyDescent="0.3">
      <c r="B107" s="5" t="s">
        <v>64</v>
      </c>
    </row>
    <row r="108" spans="1:10" ht="18.75" x14ac:dyDescent="0.3">
      <c r="B108" s="5" t="s">
        <v>279</v>
      </c>
    </row>
    <row r="109" spans="1:10" ht="18.75" x14ac:dyDescent="0.3">
      <c r="B109" s="5" t="s">
        <v>430</v>
      </c>
    </row>
    <row r="111" spans="1:10" x14ac:dyDescent="0.25">
      <c r="A111" s="3" t="s">
        <v>163</v>
      </c>
      <c r="B111" s="3" t="s">
        <v>164</v>
      </c>
      <c r="C111" s="59" t="s">
        <v>281</v>
      </c>
      <c r="D111" s="13" t="s">
        <v>280</v>
      </c>
      <c r="E111" s="13" t="s">
        <v>280</v>
      </c>
      <c r="F111" s="13" t="s">
        <v>280</v>
      </c>
      <c r="G111" s="13" t="s">
        <v>280</v>
      </c>
      <c r="H111" s="13" t="s">
        <v>280</v>
      </c>
      <c r="I111" s="13" t="s">
        <v>280</v>
      </c>
      <c r="J111" s="3" t="s">
        <v>166</v>
      </c>
    </row>
    <row r="112" spans="1:10" x14ac:dyDescent="0.25">
      <c r="A112" s="38">
        <v>1</v>
      </c>
      <c r="B112" s="1" t="s">
        <v>199</v>
      </c>
      <c r="C112" s="14">
        <v>491500</v>
      </c>
      <c r="D112" s="1"/>
      <c r="E112" s="1"/>
      <c r="F112" s="1"/>
      <c r="G112" s="70"/>
      <c r="H112" s="1"/>
      <c r="I112" s="1"/>
      <c r="J112" s="70">
        <f>C112-D112-E112-F112-G112-H112-I112</f>
        <v>491500</v>
      </c>
    </row>
    <row r="113" spans="1:10" x14ac:dyDescent="0.25">
      <c r="A113" s="38"/>
      <c r="B113" s="1" t="s">
        <v>202</v>
      </c>
      <c r="C113" s="14">
        <v>105000</v>
      </c>
      <c r="D113" s="1"/>
      <c r="E113" s="1"/>
      <c r="F113" s="1"/>
      <c r="G113" s="70"/>
      <c r="H113" s="1"/>
      <c r="I113" s="1"/>
      <c r="J113" s="70">
        <f t="shared" ref="J113:J118" si="8">C113-D113-E113-F113-G113-H113-I113</f>
        <v>105000</v>
      </c>
    </row>
    <row r="114" spans="1:10" x14ac:dyDescent="0.25">
      <c r="A114" s="38">
        <v>2</v>
      </c>
      <c r="B114" s="1" t="s">
        <v>223</v>
      </c>
      <c r="C114" s="14">
        <v>2378900</v>
      </c>
      <c r="D114" s="1">
        <v>2378900</v>
      </c>
      <c r="E114" s="1"/>
      <c r="F114" s="1"/>
      <c r="G114" s="70"/>
      <c r="H114" s="1"/>
      <c r="I114" s="1"/>
      <c r="J114" s="70">
        <f t="shared" si="8"/>
        <v>0</v>
      </c>
    </row>
    <row r="115" spans="1:10" x14ac:dyDescent="0.25">
      <c r="A115" s="38">
        <v>3</v>
      </c>
      <c r="B115" s="1" t="s">
        <v>222</v>
      </c>
      <c r="C115" s="14">
        <v>565000</v>
      </c>
      <c r="D115" s="1">
        <v>565000</v>
      </c>
      <c r="E115" s="1"/>
      <c r="F115" s="1"/>
      <c r="G115" s="70"/>
      <c r="H115" s="1"/>
      <c r="I115" s="1"/>
      <c r="J115" s="70">
        <f t="shared" si="8"/>
        <v>0</v>
      </c>
    </row>
    <row r="116" spans="1:10" x14ac:dyDescent="0.25">
      <c r="A116" s="38">
        <v>4</v>
      </c>
      <c r="B116" s="1" t="s">
        <v>231</v>
      </c>
      <c r="C116" s="14">
        <v>536000</v>
      </c>
      <c r="D116" s="1">
        <v>536000</v>
      </c>
      <c r="E116" s="1"/>
      <c r="F116" s="1"/>
      <c r="G116" s="70"/>
      <c r="H116" s="1"/>
      <c r="I116" s="1"/>
      <c r="J116" s="70">
        <f t="shared" si="8"/>
        <v>0</v>
      </c>
    </row>
    <row r="117" spans="1:10" x14ac:dyDescent="0.25">
      <c r="A117" s="38">
        <v>5</v>
      </c>
      <c r="B117" s="38" t="s">
        <v>241</v>
      </c>
      <c r="C117" s="27">
        <v>700000</v>
      </c>
      <c r="D117" s="1">
        <v>700000</v>
      </c>
      <c r="E117" s="1"/>
      <c r="F117" s="1"/>
      <c r="G117" s="72"/>
      <c r="H117" s="1"/>
      <c r="I117" s="1"/>
      <c r="J117" s="70">
        <f t="shared" si="8"/>
        <v>0</v>
      </c>
    </row>
    <row r="118" spans="1:10" x14ac:dyDescent="0.25">
      <c r="A118" s="38">
        <v>6</v>
      </c>
      <c r="B118" s="38" t="s">
        <v>309</v>
      </c>
      <c r="C118" s="27">
        <v>20000</v>
      </c>
      <c r="D118" s="1">
        <v>20000</v>
      </c>
      <c r="E118" s="1"/>
      <c r="F118" s="1"/>
      <c r="G118" s="72"/>
      <c r="H118" s="1"/>
      <c r="I118" s="1">
        <v>0</v>
      </c>
      <c r="J118" s="70">
        <f t="shared" si="8"/>
        <v>0</v>
      </c>
    </row>
    <row r="119" spans="1:10" x14ac:dyDescent="0.25">
      <c r="A119" s="1"/>
      <c r="B119" s="71" t="s">
        <v>138</v>
      </c>
      <c r="C119" s="15">
        <f>SUM(C112:C118)</f>
        <v>4796400</v>
      </c>
      <c r="D119" s="15">
        <f>SUM(D112:D118)</f>
        <v>4199900</v>
      </c>
      <c r="E119" s="15">
        <f>SUM(E112:E118)</f>
        <v>0</v>
      </c>
      <c r="F119" s="15">
        <f>SUM(F112:F117)</f>
        <v>0</v>
      </c>
      <c r="G119" s="15">
        <f>SUM(G112:G117)</f>
        <v>0</v>
      </c>
      <c r="H119" s="1">
        <f>SUM(H112:H118)</f>
        <v>0</v>
      </c>
      <c r="I119" s="1">
        <f>SUM(I112:I118)</f>
        <v>0</v>
      </c>
      <c r="J119" s="15">
        <f>SUM(J112:J118)</f>
        <v>596500</v>
      </c>
    </row>
    <row r="121" spans="1:10" ht="18.75" x14ac:dyDescent="0.3">
      <c r="B121" s="5" t="s">
        <v>377</v>
      </c>
    </row>
    <row r="122" spans="1:10" ht="18.75" x14ac:dyDescent="0.3">
      <c r="B122" s="5" t="s">
        <v>64</v>
      </c>
    </row>
    <row r="123" spans="1:10" ht="18.75" x14ac:dyDescent="0.3">
      <c r="B123" s="5" t="s">
        <v>430</v>
      </c>
    </row>
    <row r="124" spans="1:10" x14ac:dyDescent="0.25">
      <c r="A124" s="3" t="s">
        <v>163</v>
      </c>
      <c r="B124" s="3" t="s">
        <v>164</v>
      </c>
      <c r="C124" s="59" t="s">
        <v>424</v>
      </c>
      <c r="D124" s="13">
        <v>44013</v>
      </c>
      <c r="E124" s="13">
        <v>44044</v>
      </c>
      <c r="F124" s="13">
        <v>44075</v>
      </c>
      <c r="G124" s="13">
        <v>44105</v>
      </c>
      <c r="H124" s="13">
        <v>44136</v>
      </c>
      <c r="I124" s="13">
        <v>44166</v>
      </c>
      <c r="J124" s="1" t="s">
        <v>81</v>
      </c>
    </row>
    <row r="125" spans="1:10" x14ac:dyDescent="0.25">
      <c r="A125" s="38">
        <v>1</v>
      </c>
      <c r="B125" s="59" t="s">
        <v>360</v>
      </c>
      <c r="C125" s="14">
        <v>30000</v>
      </c>
      <c r="D125" s="14">
        <v>0</v>
      </c>
      <c r="E125" s="1"/>
      <c r="F125" s="1"/>
      <c r="G125" s="70"/>
      <c r="H125" s="1"/>
      <c r="I125" s="1"/>
      <c r="J125" s="70">
        <f t="shared" ref="J125:J131" si="9">SUM(C125:I125)</f>
        <v>30000</v>
      </c>
    </row>
    <row r="126" spans="1:10" x14ac:dyDescent="0.25">
      <c r="A126" s="38"/>
      <c r="B126" s="1"/>
      <c r="C126" s="14"/>
      <c r="D126" s="1"/>
      <c r="E126" s="1"/>
      <c r="F126" s="1"/>
      <c r="G126" s="70"/>
      <c r="H126" s="1"/>
      <c r="I126" s="1"/>
      <c r="J126" s="70">
        <f t="shared" si="9"/>
        <v>0</v>
      </c>
    </row>
    <row r="127" spans="1:10" x14ac:dyDescent="0.25">
      <c r="A127" s="38"/>
      <c r="B127" s="1"/>
      <c r="C127" s="14"/>
      <c r="D127" s="1"/>
      <c r="E127" s="1"/>
      <c r="F127" s="1"/>
      <c r="G127" s="70"/>
      <c r="H127" s="1"/>
      <c r="I127" s="1"/>
      <c r="J127" s="70">
        <f t="shared" si="9"/>
        <v>0</v>
      </c>
    </row>
    <row r="128" spans="1:10" x14ac:dyDescent="0.25">
      <c r="A128" s="38"/>
      <c r="B128" s="1"/>
      <c r="C128" s="14"/>
      <c r="D128" s="1"/>
      <c r="E128" s="1"/>
      <c r="F128" s="1"/>
      <c r="G128" s="70"/>
      <c r="H128" s="1"/>
      <c r="I128" s="1"/>
      <c r="J128" s="70">
        <f t="shared" si="9"/>
        <v>0</v>
      </c>
    </row>
    <row r="129" spans="1:10" x14ac:dyDescent="0.25">
      <c r="A129" s="38"/>
      <c r="B129" s="1"/>
      <c r="C129" s="14"/>
      <c r="D129" s="1"/>
      <c r="E129" s="1"/>
      <c r="F129" s="1"/>
      <c r="G129" s="70"/>
      <c r="H129" s="1"/>
      <c r="I129" s="1"/>
      <c r="J129" s="70">
        <f t="shared" si="9"/>
        <v>0</v>
      </c>
    </row>
    <row r="130" spans="1:10" x14ac:dyDescent="0.25">
      <c r="A130" s="38"/>
      <c r="B130" s="38"/>
      <c r="C130" s="27"/>
      <c r="D130" s="1"/>
      <c r="E130" s="1"/>
      <c r="F130" s="1"/>
      <c r="G130" s="72"/>
      <c r="H130" s="1"/>
      <c r="I130" s="1"/>
      <c r="J130" s="70">
        <f t="shared" si="9"/>
        <v>0</v>
      </c>
    </row>
    <row r="131" spans="1:10" x14ac:dyDescent="0.25">
      <c r="A131" s="38"/>
      <c r="B131" s="38"/>
      <c r="C131" s="27"/>
      <c r="D131" s="1"/>
      <c r="E131" s="1"/>
      <c r="F131" s="1"/>
      <c r="G131" s="72"/>
      <c r="H131" s="1"/>
      <c r="I131" s="1"/>
      <c r="J131" s="70">
        <f t="shared" si="9"/>
        <v>0</v>
      </c>
    </row>
    <row r="132" spans="1:10" x14ac:dyDescent="0.25">
      <c r="A132" s="1"/>
      <c r="B132" s="71" t="s">
        <v>138</v>
      </c>
      <c r="C132" s="15">
        <f>SUM(C125:C131)</f>
        <v>30000</v>
      </c>
      <c r="D132" s="15">
        <f>SUM(D125:D131)</f>
        <v>0</v>
      </c>
      <c r="E132" s="15">
        <f>SUM(E125:E130)</f>
        <v>0</v>
      </c>
      <c r="F132" s="15">
        <f>SUM(F125:F130)</f>
        <v>0</v>
      </c>
      <c r="G132" s="15">
        <f>SUM(G125:G130)</f>
        <v>0</v>
      </c>
      <c r="H132" s="1">
        <f>SUM(H125:H131)</f>
        <v>0</v>
      </c>
      <c r="I132" s="1">
        <f>SUM(I125:I131)</f>
        <v>0</v>
      </c>
      <c r="J132" s="15">
        <f>SUM(J125:J131)</f>
        <v>30000</v>
      </c>
    </row>
    <row r="140" spans="1:10" x14ac:dyDescent="0.25">
      <c r="A140" s="95"/>
      <c r="B140" s="12" t="s">
        <v>80</v>
      </c>
    </row>
    <row r="141" spans="1:10" x14ac:dyDescent="0.25">
      <c r="A141" s="95"/>
      <c r="B141" s="12" t="s">
        <v>64</v>
      </c>
    </row>
    <row r="142" spans="1:10" x14ac:dyDescent="0.25">
      <c r="A142" s="95"/>
      <c r="B142" s="12" t="s">
        <v>162</v>
      </c>
    </row>
    <row r="143" spans="1:10" x14ac:dyDescent="0.25">
      <c r="A143" s="95"/>
      <c r="B143" s="12" t="s">
        <v>431</v>
      </c>
    </row>
    <row r="144" spans="1:10" x14ac:dyDescent="0.25">
      <c r="A144" s="95"/>
      <c r="B144" s="12"/>
    </row>
    <row r="145" spans="1:10" x14ac:dyDescent="0.25">
      <c r="A145" s="3" t="s">
        <v>163</v>
      </c>
      <c r="B145" s="3" t="s">
        <v>164</v>
      </c>
      <c r="C145" s="59" t="s">
        <v>424</v>
      </c>
      <c r="D145" s="13">
        <v>44013</v>
      </c>
      <c r="E145" s="13">
        <v>44044</v>
      </c>
      <c r="F145" s="13">
        <v>44075</v>
      </c>
      <c r="G145" s="13">
        <v>44105</v>
      </c>
      <c r="H145" s="13">
        <v>44136</v>
      </c>
      <c r="I145" s="13">
        <v>44166</v>
      </c>
      <c r="J145" s="1" t="s">
        <v>81</v>
      </c>
    </row>
    <row r="146" spans="1:10" x14ac:dyDescent="0.25">
      <c r="A146" s="1">
        <v>1</v>
      </c>
      <c r="B146" s="1" t="s">
        <v>167</v>
      </c>
      <c r="C146" s="27">
        <v>1600000</v>
      </c>
      <c r="D146" s="27">
        <v>0</v>
      </c>
      <c r="E146" s="27">
        <v>0</v>
      </c>
      <c r="F146" s="27">
        <v>0</v>
      </c>
      <c r="G146" s="27">
        <v>0</v>
      </c>
      <c r="H146" s="38">
        <v>0</v>
      </c>
      <c r="I146" s="38">
        <v>0</v>
      </c>
      <c r="J146" s="72">
        <f t="shared" ref="J146:J194" si="10">SUM(C146:I146)</f>
        <v>1600000</v>
      </c>
    </row>
    <row r="147" spans="1:10" x14ac:dyDescent="0.25">
      <c r="A147" s="1">
        <v>2</v>
      </c>
      <c r="B147" s="1" t="s">
        <v>168</v>
      </c>
      <c r="C147" s="27">
        <v>522000</v>
      </c>
      <c r="D147" s="27">
        <v>0</v>
      </c>
      <c r="E147" s="27">
        <v>0</v>
      </c>
      <c r="F147" s="27">
        <v>0</v>
      </c>
      <c r="G147" s="27">
        <v>0</v>
      </c>
      <c r="H147" s="38">
        <v>0</v>
      </c>
      <c r="I147" s="38">
        <v>0</v>
      </c>
      <c r="J147" s="72">
        <f t="shared" si="10"/>
        <v>522000</v>
      </c>
    </row>
    <row r="148" spans="1:10" x14ac:dyDescent="0.25">
      <c r="A148" s="1">
        <v>3</v>
      </c>
      <c r="B148" s="1" t="s">
        <v>169</v>
      </c>
      <c r="C148" s="27">
        <v>1365000</v>
      </c>
      <c r="D148" s="27">
        <v>0</v>
      </c>
      <c r="E148" s="27">
        <v>0</v>
      </c>
      <c r="F148" s="27">
        <v>0</v>
      </c>
      <c r="G148" s="27">
        <v>20000</v>
      </c>
      <c r="H148" s="38">
        <v>20000</v>
      </c>
      <c r="I148" s="38">
        <v>20000</v>
      </c>
      <c r="J148" s="72">
        <f t="shared" si="10"/>
        <v>1425000</v>
      </c>
    </row>
    <row r="149" spans="1:10" x14ac:dyDescent="0.25">
      <c r="A149" s="1">
        <v>4</v>
      </c>
      <c r="B149" s="1" t="s">
        <v>170</v>
      </c>
      <c r="C149" s="27">
        <v>570000</v>
      </c>
      <c r="D149" s="27">
        <v>0</v>
      </c>
      <c r="E149" s="27">
        <v>0</v>
      </c>
      <c r="F149" s="27">
        <v>0</v>
      </c>
      <c r="G149" s="27">
        <v>0</v>
      </c>
      <c r="H149" s="38">
        <v>0</v>
      </c>
      <c r="I149" s="38">
        <v>0</v>
      </c>
      <c r="J149" s="72">
        <f t="shared" si="10"/>
        <v>570000</v>
      </c>
    </row>
    <row r="150" spans="1:10" x14ac:dyDescent="0.25">
      <c r="A150" s="1">
        <v>5</v>
      </c>
      <c r="B150" s="1" t="s">
        <v>171</v>
      </c>
      <c r="C150" s="27">
        <v>1520500</v>
      </c>
      <c r="D150" s="27">
        <v>136000</v>
      </c>
      <c r="E150" s="27">
        <v>192000</v>
      </c>
      <c r="F150" s="27">
        <v>50000</v>
      </c>
      <c r="G150" s="27">
        <v>66000</v>
      </c>
      <c r="H150" s="27">
        <v>8000</v>
      </c>
      <c r="I150" s="38">
        <v>13000</v>
      </c>
      <c r="J150" s="72">
        <f t="shared" si="10"/>
        <v>1985500</v>
      </c>
    </row>
    <row r="151" spans="1:10" x14ac:dyDescent="0.25">
      <c r="A151" s="1">
        <v>6</v>
      </c>
      <c r="B151" s="1" t="s">
        <v>174</v>
      </c>
      <c r="C151" s="27">
        <v>1180000</v>
      </c>
      <c r="D151" s="27">
        <v>0</v>
      </c>
      <c r="E151" s="27">
        <v>0</v>
      </c>
      <c r="F151" s="27"/>
      <c r="G151" s="27">
        <v>0</v>
      </c>
      <c r="H151" s="38">
        <v>0</v>
      </c>
      <c r="I151" s="38">
        <v>0</v>
      </c>
      <c r="J151" s="72">
        <f t="shared" si="10"/>
        <v>1180000</v>
      </c>
    </row>
    <row r="152" spans="1:10" x14ac:dyDescent="0.25">
      <c r="A152" s="1">
        <v>7</v>
      </c>
      <c r="B152" s="1" t="s">
        <v>172</v>
      </c>
      <c r="C152" s="27">
        <v>1520000</v>
      </c>
      <c r="D152" s="27">
        <v>0</v>
      </c>
      <c r="E152" s="27">
        <v>0</v>
      </c>
      <c r="F152" s="27">
        <v>0</v>
      </c>
      <c r="G152" s="27">
        <v>80000</v>
      </c>
      <c r="H152" s="38">
        <v>0</v>
      </c>
      <c r="I152" s="38">
        <v>0</v>
      </c>
      <c r="J152" s="72">
        <f t="shared" si="10"/>
        <v>1600000</v>
      </c>
    </row>
    <row r="153" spans="1:10" x14ac:dyDescent="0.25">
      <c r="A153" s="1">
        <v>8</v>
      </c>
      <c r="B153" s="1" t="s">
        <v>173</v>
      </c>
      <c r="C153" s="27">
        <v>1200000</v>
      </c>
      <c r="D153" s="27">
        <v>0</v>
      </c>
      <c r="E153" s="27">
        <v>0</v>
      </c>
      <c r="F153" s="27">
        <v>0</v>
      </c>
      <c r="G153" s="27">
        <v>0</v>
      </c>
      <c r="H153" s="38">
        <v>0</v>
      </c>
      <c r="I153" s="38">
        <v>105000</v>
      </c>
      <c r="J153" s="72">
        <f t="shared" si="10"/>
        <v>1305000</v>
      </c>
    </row>
    <row r="154" spans="1:10" x14ac:dyDescent="0.25">
      <c r="A154" s="90">
        <v>9</v>
      </c>
      <c r="B154" s="38" t="s">
        <v>176</v>
      </c>
      <c r="C154" s="27">
        <v>650000</v>
      </c>
      <c r="D154" s="27">
        <v>0</v>
      </c>
      <c r="E154" s="27">
        <v>0</v>
      </c>
      <c r="F154" s="27">
        <v>0</v>
      </c>
      <c r="G154" s="27">
        <v>0</v>
      </c>
      <c r="H154" s="38">
        <v>0</v>
      </c>
      <c r="I154" s="38">
        <v>0</v>
      </c>
      <c r="J154" s="72">
        <f t="shared" si="10"/>
        <v>650000</v>
      </c>
    </row>
    <row r="155" spans="1:10" x14ac:dyDescent="0.25">
      <c r="A155" s="1">
        <v>10</v>
      </c>
      <c r="B155" s="1" t="s">
        <v>177</v>
      </c>
      <c r="C155" s="27">
        <v>530000</v>
      </c>
      <c r="D155" s="27">
        <v>0</v>
      </c>
      <c r="E155" s="27">
        <v>0</v>
      </c>
      <c r="F155" s="27">
        <v>0</v>
      </c>
      <c r="G155" s="27">
        <v>0</v>
      </c>
      <c r="H155" s="38">
        <v>0</v>
      </c>
      <c r="I155" s="38">
        <v>0</v>
      </c>
      <c r="J155" s="72">
        <f t="shared" si="10"/>
        <v>530000</v>
      </c>
    </row>
    <row r="156" spans="1:10" x14ac:dyDescent="0.25">
      <c r="A156" s="1">
        <v>11</v>
      </c>
      <c r="B156" s="1" t="s">
        <v>178</v>
      </c>
      <c r="C156" s="27">
        <v>1370000</v>
      </c>
      <c r="D156" s="27">
        <v>0</v>
      </c>
      <c r="E156" s="27">
        <v>0</v>
      </c>
      <c r="F156" s="27">
        <v>0</v>
      </c>
      <c r="G156" s="27">
        <v>0</v>
      </c>
      <c r="H156" s="38">
        <v>0</v>
      </c>
      <c r="I156" s="38">
        <v>0</v>
      </c>
      <c r="J156" s="72">
        <f t="shared" si="10"/>
        <v>1370000</v>
      </c>
    </row>
    <row r="157" spans="1:10" x14ac:dyDescent="0.25">
      <c r="A157" s="1">
        <v>12</v>
      </c>
      <c r="B157" s="1" t="s">
        <v>179</v>
      </c>
      <c r="C157" s="27">
        <v>570000</v>
      </c>
      <c r="D157" s="27">
        <v>0</v>
      </c>
      <c r="E157" s="27">
        <v>0</v>
      </c>
      <c r="F157" s="27">
        <v>0</v>
      </c>
      <c r="G157" s="27">
        <v>0</v>
      </c>
      <c r="H157" s="38">
        <v>0</v>
      </c>
      <c r="I157" s="38">
        <v>0</v>
      </c>
      <c r="J157" s="72">
        <f t="shared" si="10"/>
        <v>570000</v>
      </c>
    </row>
    <row r="158" spans="1:10" x14ac:dyDescent="0.25">
      <c r="A158" s="1">
        <v>13</v>
      </c>
      <c r="B158" s="1" t="s">
        <v>180</v>
      </c>
      <c r="C158" s="27">
        <v>1450000</v>
      </c>
      <c r="D158" s="27">
        <v>50000</v>
      </c>
      <c r="E158" s="27"/>
      <c r="F158" s="27">
        <v>0</v>
      </c>
      <c r="G158" s="27">
        <v>0</v>
      </c>
      <c r="H158" s="38">
        <v>0</v>
      </c>
      <c r="I158" s="38">
        <v>0</v>
      </c>
      <c r="J158" s="72">
        <f t="shared" si="10"/>
        <v>1500000</v>
      </c>
    </row>
    <row r="159" spans="1:10" x14ac:dyDescent="0.25">
      <c r="A159" s="1">
        <v>14</v>
      </c>
      <c r="B159" s="1" t="s">
        <v>181</v>
      </c>
      <c r="C159" s="27">
        <v>2203000</v>
      </c>
      <c r="D159" s="27">
        <v>0</v>
      </c>
      <c r="E159" s="27">
        <v>0</v>
      </c>
      <c r="F159" s="27"/>
      <c r="G159" s="27">
        <v>0</v>
      </c>
      <c r="H159" s="38">
        <v>0</v>
      </c>
      <c r="I159" s="38">
        <v>0</v>
      </c>
      <c r="J159" s="72">
        <f t="shared" si="10"/>
        <v>2203000</v>
      </c>
    </row>
    <row r="160" spans="1:10" x14ac:dyDescent="0.25">
      <c r="A160" s="1">
        <v>15</v>
      </c>
      <c r="B160" s="1" t="s">
        <v>182</v>
      </c>
      <c r="C160" s="27">
        <v>752000</v>
      </c>
      <c r="D160" s="27">
        <v>0</v>
      </c>
      <c r="E160" s="27">
        <v>498515</v>
      </c>
      <c r="F160" s="27">
        <v>15000</v>
      </c>
      <c r="G160" s="27">
        <v>0</v>
      </c>
      <c r="H160" s="38">
        <v>0</v>
      </c>
      <c r="I160" s="38">
        <v>0</v>
      </c>
      <c r="J160" s="72">
        <f t="shared" si="10"/>
        <v>1265515</v>
      </c>
    </row>
    <row r="161" spans="1:10" x14ac:dyDescent="0.25">
      <c r="A161" s="1">
        <v>16</v>
      </c>
      <c r="B161" s="1" t="s">
        <v>183</v>
      </c>
      <c r="C161" s="27">
        <v>565000</v>
      </c>
      <c r="D161" s="27">
        <v>0</v>
      </c>
      <c r="E161" s="27">
        <v>0</v>
      </c>
      <c r="F161" s="27">
        <v>0</v>
      </c>
      <c r="G161" s="27">
        <v>0</v>
      </c>
      <c r="H161" s="38">
        <v>0</v>
      </c>
      <c r="I161" s="38">
        <v>0</v>
      </c>
      <c r="J161" s="72">
        <f t="shared" si="10"/>
        <v>565000</v>
      </c>
    </row>
    <row r="162" spans="1:10" x14ac:dyDescent="0.25">
      <c r="A162" s="1">
        <v>17</v>
      </c>
      <c r="B162" s="1" t="s">
        <v>184</v>
      </c>
      <c r="C162" s="27">
        <v>1466400</v>
      </c>
      <c r="D162" s="27">
        <v>0</v>
      </c>
      <c r="E162" s="27">
        <v>0</v>
      </c>
      <c r="F162" s="27">
        <v>0</v>
      </c>
      <c r="G162" s="27">
        <v>450000</v>
      </c>
      <c r="H162" s="38">
        <v>0</v>
      </c>
      <c r="I162" s="38">
        <v>0</v>
      </c>
      <c r="J162" s="72">
        <f t="shared" si="10"/>
        <v>1916400</v>
      </c>
    </row>
    <row r="163" spans="1:10" x14ac:dyDescent="0.25">
      <c r="A163" s="1">
        <v>18</v>
      </c>
      <c r="B163" s="1" t="s">
        <v>185</v>
      </c>
      <c r="C163" s="27">
        <v>1600000</v>
      </c>
      <c r="D163" s="27">
        <v>0</v>
      </c>
      <c r="E163" s="27">
        <v>0</v>
      </c>
      <c r="F163" s="27">
        <v>0</v>
      </c>
      <c r="G163" s="27">
        <v>0</v>
      </c>
      <c r="H163" s="38">
        <v>200000</v>
      </c>
      <c r="I163" s="38">
        <v>0</v>
      </c>
      <c r="J163" s="72">
        <f t="shared" si="10"/>
        <v>1800000</v>
      </c>
    </row>
    <row r="164" spans="1:10" x14ac:dyDescent="0.25">
      <c r="A164" s="1">
        <v>19</v>
      </c>
      <c r="B164" s="1" t="s">
        <v>186</v>
      </c>
      <c r="C164" s="27">
        <v>500000</v>
      </c>
      <c r="D164" s="27">
        <v>0</v>
      </c>
      <c r="E164" s="27">
        <v>0</v>
      </c>
      <c r="F164" s="27">
        <v>0</v>
      </c>
      <c r="G164" s="27">
        <v>0</v>
      </c>
      <c r="H164" s="38">
        <v>0</v>
      </c>
      <c r="I164" s="38">
        <v>0</v>
      </c>
      <c r="J164" s="72">
        <f t="shared" si="10"/>
        <v>500000</v>
      </c>
    </row>
    <row r="165" spans="1:10" x14ac:dyDescent="0.25">
      <c r="A165" s="1">
        <v>20</v>
      </c>
      <c r="B165" s="1" t="s">
        <v>187</v>
      </c>
      <c r="C165" s="27">
        <v>500000</v>
      </c>
      <c r="D165" s="27">
        <v>0</v>
      </c>
      <c r="E165" s="27">
        <v>0</v>
      </c>
      <c r="F165" s="27">
        <v>0</v>
      </c>
      <c r="G165" s="27">
        <v>0</v>
      </c>
      <c r="H165" s="38">
        <v>0</v>
      </c>
      <c r="I165" s="38">
        <v>0</v>
      </c>
      <c r="J165" s="72">
        <f t="shared" si="10"/>
        <v>500000</v>
      </c>
    </row>
    <row r="166" spans="1:10" x14ac:dyDescent="0.25">
      <c r="A166" s="38">
        <v>21</v>
      </c>
      <c r="B166" s="38" t="s">
        <v>188</v>
      </c>
      <c r="C166" s="27">
        <f>550000+50000-100000</f>
        <v>500000</v>
      </c>
      <c r="D166" s="27">
        <v>0</v>
      </c>
      <c r="E166" s="27">
        <v>0</v>
      </c>
      <c r="F166" s="27">
        <v>0</v>
      </c>
      <c r="G166" s="27">
        <v>0</v>
      </c>
      <c r="H166" s="38">
        <v>0</v>
      </c>
      <c r="I166" s="38">
        <v>0</v>
      </c>
      <c r="J166" s="72">
        <f t="shared" si="10"/>
        <v>500000</v>
      </c>
    </row>
    <row r="167" spans="1:10" x14ac:dyDescent="0.25">
      <c r="A167" s="38">
        <v>22</v>
      </c>
      <c r="B167" s="38" t="s">
        <v>189</v>
      </c>
      <c r="C167" s="27">
        <v>1645000</v>
      </c>
      <c r="D167" s="27">
        <v>0</v>
      </c>
      <c r="E167" s="27">
        <v>0</v>
      </c>
      <c r="F167" s="27"/>
      <c r="G167" s="27"/>
      <c r="H167" s="38">
        <v>0</v>
      </c>
      <c r="I167" s="38"/>
      <c r="J167" s="72">
        <f t="shared" si="10"/>
        <v>1645000</v>
      </c>
    </row>
    <row r="168" spans="1:10" x14ac:dyDescent="0.25">
      <c r="A168" s="38">
        <v>23</v>
      </c>
      <c r="B168" s="38" t="s">
        <v>190</v>
      </c>
      <c r="C168" s="27">
        <v>600000</v>
      </c>
      <c r="D168" s="27">
        <v>0</v>
      </c>
      <c r="E168" s="27">
        <v>0</v>
      </c>
      <c r="F168" s="27">
        <v>0</v>
      </c>
      <c r="G168" s="27">
        <v>0</v>
      </c>
      <c r="H168" s="38">
        <v>0</v>
      </c>
      <c r="I168" s="38">
        <v>0</v>
      </c>
      <c r="J168" s="72">
        <f t="shared" si="10"/>
        <v>600000</v>
      </c>
    </row>
    <row r="169" spans="1:10" x14ac:dyDescent="0.25">
      <c r="A169" s="115">
        <v>24</v>
      </c>
      <c r="B169" s="115" t="s">
        <v>432</v>
      </c>
      <c r="C169" s="116">
        <v>679000</v>
      </c>
      <c r="D169" s="116">
        <v>0</v>
      </c>
      <c r="E169" s="116">
        <v>0</v>
      </c>
      <c r="F169" s="116">
        <v>0</v>
      </c>
      <c r="G169" s="116">
        <v>0</v>
      </c>
      <c r="H169" s="115">
        <v>300000</v>
      </c>
      <c r="I169" s="115">
        <v>300000</v>
      </c>
      <c r="J169" s="117">
        <f t="shared" si="10"/>
        <v>1279000</v>
      </c>
    </row>
    <row r="170" spans="1:10" x14ac:dyDescent="0.25">
      <c r="A170" s="38">
        <v>25</v>
      </c>
      <c r="B170" s="38" t="s">
        <v>192</v>
      </c>
      <c r="C170" s="27">
        <v>850000</v>
      </c>
      <c r="D170" s="27">
        <v>0</v>
      </c>
      <c r="E170" s="27">
        <v>0</v>
      </c>
      <c r="F170" s="27">
        <v>0</v>
      </c>
      <c r="G170" s="27">
        <v>0</v>
      </c>
      <c r="H170" s="38">
        <v>0</v>
      </c>
      <c r="I170" s="38">
        <v>0</v>
      </c>
      <c r="J170" s="72">
        <f t="shared" si="10"/>
        <v>850000</v>
      </c>
    </row>
    <row r="171" spans="1:10" x14ac:dyDescent="0.25">
      <c r="A171" s="38">
        <v>26</v>
      </c>
      <c r="B171" s="38" t="s">
        <v>193</v>
      </c>
      <c r="C171" s="27">
        <v>2694175</v>
      </c>
      <c r="D171" s="27">
        <v>0</v>
      </c>
      <c r="E171" s="27"/>
      <c r="F171" s="27">
        <v>0</v>
      </c>
      <c r="G171" s="27">
        <v>0</v>
      </c>
      <c r="H171" s="38">
        <v>0</v>
      </c>
      <c r="I171" s="38">
        <v>0</v>
      </c>
      <c r="J171" s="72">
        <f t="shared" si="10"/>
        <v>2694175</v>
      </c>
    </row>
    <row r="172" spans="1:10" x14ac:dyDescent="0.25">
      <c r="A172" s="38">
        <v>27</v>
      </c>
      <c r="B172" s="38" t="s">
        <v>378</v>
      </c>
      <c r="C172" s="27">
        <v>2640000</v>
      </c>
      <c r="D172" s="27">
        <v>50000</v>
      </c>
      <c r="E172" s="27"/>
      <c r="F172" s="27"/>
      <c r="G172" s="27"/>
      <c r="H172" s="38">
        <v>0</v>
      </c>
      <c r="I172" s="38">
        <v>0</v>
      </c>
      <c r="J172" s="72">
        <f t="shared" si="10"/>
        <v>2690000</v>
      </c>
    </row>
    <row r="173" spans="1:10" x14ac:dyDescent="0.25">
      <c r="A173" s="38">
        <v>28</v>
      </c>
      <c r="B173" s="38" t="s">
        <v>196</v>
      </c>
      <c r="C173" s="27">
        <v>120000</v>
      </c>
      <c r="D173" s="27">
        <v>0</v>
      </c>
      <c r="E173" s="27">
        <v>0</v>
      </c>
      <c r="F173" s="27">
        <v>0</v>
      </c>
      <c r="G173" s="27">
        <v>0</v>
      </c>
      <c r="H173" s="38">
        <v>0</v>
      </c>
      <c r="I173" s="38">
        <v>0</v>
      </c>
      <c r="J173" s="72">
        <f t="shared" si="10"/>
        <v>120000</v>
      </c>
    </row>
    <row r="174" spans="1:10" x14ac:dyDescent="0.25">
      <c r="A174" s="38">
        <v>29</v>
      </c>
      <c r="B174" s="38" t="s">
        <v>197</v>
      </c>
      <c r="C174" s="27">
        <v>1570000</v>
      </c>
      <c r="D174" s="27">
        <v>0</v>
      </c>
      <c r="E174" s="27">
        <v>0</v>
      </c>
      <c r="F174" s="27">
        <v>0</v>
      </c>
      <c r="G174" s="27">
        <v>0</v>
      </c>
      <c r="H174" s="38">
        <v>0</v>
      </c>
      <c r="I174" s="38">
        <v>0</v>
      </c>
      <c r="J174" s="72">
        <f t="shared" si="10"/>
        <v>1570000</v>
      </c>
    </row>
    <row r="175" spans="1:10" x14ac:dyDescent="0.25">
      <c r="A175" s="38">
        <v>30</v>
      </c>
      <c r="B175" s="38" t="s">
        <v>308</v>
      </c>
      <c r="C175" s="27">
        <v>555000</v>
      </c>
      <c r="D175" s="27">
        <v>0</v>
      </c>
      <c r="E175" s="27">
        <v>0</v>
      </c>
      <c r="F175" s="27">
        <v>0</v>
      </c>
      <c r="G175" s="27">
        <v>0</v>
      </c>
      <c r="H175" s="38">
        <v>0</v>
      </c>
      <c r="I175" s="38">
        <v>0</v>
      </c>
      <c r="J175" s="72">
        <f t="shared" si="10"/>
        <v>555000</v>
      </c>
    </row>
    <row r="176" spans="1:10" x14ac:dyDescent="0.25">
      <c r="A176" s="38">
        <v>31</v>
      </c>
      <c r="B176" s="38" t="s">
        <v>201</v>
      </c>
      <c r="C176" s="27">
        <v>1100000</v>
      </c>
      <c r="D176" s="27">
        <v>0</v>
      </c>
      <c r="E176" s="27">
        <v>0</v>
      </c>
      <c r="F176" s="27">
        <v>0</v>
      </c>
      <c r="G176" s="27">
        <v>0</v>
      </c>
      <c r="H176" s="38">
        <v>0</v>
      </c>
      <c r="I176" s="38">
        <v>0</v>
      </c>
      <c r="J176" s="72">
        <f t="shared" si="10"/>
        <v>1100000</v>
      </c>
    </row>
    <row r="177" spans="1:10" x14ac:dyDescent="0.25">
      <c r="A177" s="90">
        <v>32</v>
      </c>
      <c r="B177" s="1" t="s">
        <v>204</v>
      </c>
      <c r="C177" s="27">
        <v>1665058</v>
      </c>
      <c r="D177" s="27"/>
      <c r="E177" s="27"/>
      <c r="F177" s="27">
        <v>0</v>
      </c>
      <c r="G177" s="27">
        <v>0</v>
      </c>
      <c r="H177" s="38">
        <v>0</v>
      </c>
      <c r="I177" s="38">
        <v>0</v>
      </c>
      <c r="J177" s="72">
        <f t="shared" si="10"/>
        <v>1665058</v>
      </c>
    </row>
    <row r="178" spans="1:10" x14ac:dyDescent="0.25">
      <c r="A178" s="38">
        <v>33</v>
      </c>
      <c r="B178" s="1" t="s">
        <v>205</v>
      </c>
      <c r="C178" s="27">
        <v>600000</v>
      </c>
      <c r="D178" s="27">
        <v>0</v>
      </c>
      <c r="E178" s="27">
        <v>0</v>
      </c>
      <c r="F178" s="27">
        <v>0</v>
      </c>
      <c r="G178" s="27">
        <v>0</v>
      </c>
      <c r="H178" s="1">
        <v>0</v>
      </c>
      <c r="I178" s="1">
        <v>0</v>
      </c>
      <c r="J178" s="70">
        <f t="shared" si="10"/>
        <v>600000</v>
      </c>
    </row>
    <row r="179" spans="1:10" x14ac:dyDescent="0.25">
      <c r="A179" s="38">
        <v>34</v>
      </c>
      <c r="B179" s="1" t="s">
        <v>208</v>
      </c>
      <c r="C179" s="14">
        <v>1490000</v>
      </c>
      <c r="D179" s="14">
        <v>0</v>
      </c>
      <c r="E179" s="14"/>
      <c r="F179" s="14">
        <v>0</v>
      </c>
      <c r="G179" s="14">
        <v>0</v>
      </c>
      <c r="H179" s="1">
        <v>15000</v>
      </c>
      <c r="I179" s="1">
        <v>15000</v>
      </c>
      <c r="J179" s="70">
        <f t="shared" si="10"/>
        <v>1520000</v>
      </c>
    </row>
    <row r="180" spans="1:10" x14ac:dyDescent="0.25">
      <c r="A180" s="38">
        <v>35</v>
      </c>
      <c r="B180" s="38" t="s">
        <v>230</v>
      </c>
      <c r="C180" s="27">
        <f>600000-50000+100000</f>
        <v>650000</v>
      </c>
      <c r="D180" s="27">
        <v>0</v>
      </c>
      <c r="E180" s="27">
        <v>0</v>
      </c>
      <c r="F180" s="27">
        <v>0</v>
      </c>
      <c r="G180" s="27">
        <v>0</v>
      </c>
      <c r="H180" s="38">
        <v>0</v>
      </c>
      <c r="I180" s="38">
        <v>0</v>
      </c>
      <c r="J180" s="72">
        <f t="shared" si="10"/>
        <v>650000</v>
      </c>
    </row>
    <row r="181" spans="1:10" x14ac:dyDescent="0.25">
      <c r="A181" s="38">
        <v>36</v>
      </c>
      <c r="B181" s="38" t="s">
        <v>236</v>
      </c>
      <c r="C181" s="27">
        <v>1569000</v>
      </c>
      <c r="D181" s="27"/>
      <c r="E181" s="27">
        <v>0</v>
      </c>
      <c r="F181" s="27">
        <v>0</v>
      </c>
      <c r="G181" s="27">
        <v>0</v>
      </c>
      <c r="H181" s="38">
        <v>0</v>
      </c>
      <c r="I181" s="38">
        <v>0</v>
      </c>
      <c r="J181" s="72">
        <f t="shared" si="10"/>
        <v>1569000</v>
      </c>
    </row>
    <row r="182" spans="1:10" x14ac:dyDescent="0.25">
      <c r="A182" s="38">
        <v>37</v>
      </c>
      <c r="B182" s="38" t="s">
        <v>285</v>
      </c>
      <c r="C182" s="27">
        <v>500000</v>
      </c>
      <c r="D182" s="27">
        <v>0</v>
      </c>
      <c r="E182" s="27">
        <v>0</v>
      </c>
      <c r="F182" s="27">
        <v>0</v>
      </c>
      <c r="G182" s="27">
        <v>0</v>
      </c>
      <c r="H182" s="38">
        <v>0</v>
      </c>
      <c r="I182" s="38">
        <v>0</v>
      </c>
      <c r="J182" s="72">
        <f t="shared" si="10"/>
        <v>500000</v>
      </c>
    </row>
    <row r="183" spans="1:10" x14ac:dyDescent="0.25">
      <c r="A183" s="38">
        <v>38</v>
      </c>
      <c r="B183" s="38" t="s">
        <v>286</v>
      </c>
      <c r="C183" s="27">
        <v>1400000</v>
      </c>
      <c r="D183" s="27">
        <v>0</v>
      </c>
      <c r="E183" s="27">
        <v>0</v>
      </c>
      <c r="F183" s="27">
        <v>0</v>
      </c>
      <c r="G183" s="27"/>
      <c r="H183" s="38">
        <v>0</v>
      </c>
      <c r="I183" s="38">
        <v>0</v>
      </c>
      <c r="J183" s="72">
        <f t="shared" si="10"/>
        <v>1400000</v>
      </c>
    </row>
    <row r="184" spans="1:10" x14ac:dyDescent="0.25">
      <c r="A184" s="115">
        <v>39</v>
      </c>
      <c r="B184" s="115" t="s">
        <v>433</v>
      </c>
      <c r="C184" s="116">
        <f>120000-10000-10000</f>
        <v>100000</v>
      </c>
      <c r="D184" s="116">
        <v>0</v>
      </c>
      <c r="E184" s="116">
        <v>0</v>
      </c>
      <c r="F184" s="116"/>
      <c r="G184" s="116">
        <v>0</v>
      </c>
      <c r="H184" s="115">
        <v>0</v>
      </c>
      <c r="I184" s="115">
        <v>20000</v>
      </c>
      <c r="J184" s="117">
        <f t="shared" si="10"/>
        <v>120000</v>
      </c>
    </row>
    <row r="185" spans="1:10" x14ac:dyDescent="0.25">
      <c r="A185" s="38">
        <v>40</v>
      </c>
      <c r="B185" s="38" t="s">
        <v>288</v>
      </c>
      <c r="C185" s="27">
        <v>579000</v>
      </c>
      <c r="D185" s="27">
        <v>20000</v>
      </c>
      <c r="E185" s="27">
        <v>0</v>
      </c>
      <c r="F185" s="27">
        <v>0</v>
      </c>
      <c r="G185" s="27">
        <v>100000</v>
      </c>
      <c r="H185" s="38">
        <v>110000</v>
      </c>
      <c r="I185" s="38">
        <v>0</v>
      </c>
      <c r="J185" s="72">
        <f t="shared" si="10"/>
        <v>809000</v>
      </c>
    </row>
    <row r="186" spans="1:10" x14ac:dyDescent="0.25">
      <c r="A186" s="38">
        <v>41</v>
      </c>
      <c r="B186" s="123" t="s">
        <v>289</v>
      </c>
      <c r="C186" s="124">
        <v>1350000</v>
      </c>
      <c r="D186" s="124">
        <v>0</v>
      </c>
      <c r="E186" s="124">
        <v>0</v>
      </c>
      <c r="F186" s="124">
        <v>0</v>
      </c>
      <c r="G186" s="124">
        <v>200000</v>
      </c>
      <c r="H186" s="38">
        <v>0</v>
      </c>
      <c r="I186" s="38">
        <v>0</v>
      </c>
      <c r="J186" s="72">
        <f t="shared" si="10"/>
        <v>1550000</v>
      </c>
    </row>
    <row r="187" spans="1:10" x14ac:dyDescent="0.25">
      <c r="A187" s="38">
        <v>42</v>
      </c>
      <c r="B187" s="38" t="s">
        <v>315</v>
      </c>
      <c r="C187" s="27">
        <v>2520000</v>
      </c>
      <c r="D187" s="38"/>
      <c r="E187" s="27"/>
      <c r="F187" s="27">
        <v>0</v>
      </c>
      <c r="G187" s="27">
        <v>0</v>
      </c>
      <c r="H187" s="38">
        <v>0</v>
      </c>
      <c r="I187" s="38">
        <v>0</v>
      </c>
      <c r="J187" s="72">
        <f t="shared" si="10"/>
        <v>2520000</v>
      </c>
    </row>
    <row r="188" spans="1:10" x14ac:dyDescent="0.25">
      <c r="A188" s="75">
        <v>43</v>
      </c>
      <c r="B188" s="38" t="s">
        <v>316</v>
      </c>
      <c r="C188" s="27">
        <v>2600000</v>
      </c>
      <c r="D188" s="38">
        <v>0</v>
      </c>
      <c r="E188" s="27">
        <v>0</v>
      </c>
      <c r="F188" s="27">
        <v>0</v>
      </c>
      <c r="G188" s="27">
        <v>0</v>
      </c>
      <c r="H188" s="38">
        <v>0</v>
      </c>
      <c r="I188" s="38">
        <v>0</v>
      </c>
      <c r="J188" s="72">
        <f t="shared" si="10"/>
        <v>2600000</v>
      </c>
    </row>
    <row r="189" spans="1:10" x14ac:dyDescent="0.25">
      <c r="A189" s="90">
        <v>44</v>
      </c>
      <c r="B189" s="38" t="s">
        <v>338</v>
      </c>
      <c r="C189" s="27">
        <v>2300000</v>
      </c>
      <c r="D189" s="38">
        <v>0</v>
      </c>
      <c r="E189" s="38">
        <v>0</v>
      </c>
      <c r="F189" s="27">
        <v>0</v>
      </c>
      <c r="G189" s="27">
        <v>0</v>
      </c>
      <c r="H189" s="38">
        <v>0</v>
      </c>
      <c r="I189" s="38">
        <v>0</v>
      </c>
      <c r="J189" s="72">
        <f t="shared" si="10"/>
        <v>2300000</v>
      </c>
    </row>
    <row r="190" spans="1:10" x14ac:dyDescent="0.25">
      <c r="A190" s="115">
        <v>45</v>
      </c>
      <c r="B190" s="115" t="s">
        <v>383</v>
      </c>
      <c r="C190" s="116">
        <v>700000</v>
      </c>
      <c r="D190" s="116">
        <v>50000</v>
      </c>
      <c r="E190" s="116">
        <v>0</v>
      </c>
      <c r="F190" s="116">
        <v>200000</v>
      </c>
      <c r="G190" s="116">
        <v>100000</v>
      </c>
      <c r="H190" s="116">
        <v>100000</v>
      </c>
      <c r="I190" s="115">
        <v>0</v>
      </c>
      <c r="J190" s="116">
        <f t="shared" si="10"/>
        <v>1150000</v>
      </c>
    </row>
    <row r="191" spans="1:10" x14ac:dyDescent="0.25">
      <c r="A191" s="38">
        <v>46</v>
      </c>
      <c r="B191" s="1" t="s">
        <v>384</v>
      </c>
      <c r="C191" s="14">
        <v>810000</v>
      </c>
      <c r="D191" s="14">
        <v>0</v>
      </c>
      <c r="E191" s="14">
        <v>0</v>
      </c>
      <c r="F191" s="14">
        <v>0</v>
      </c>
      <c r="G191" s="14">
        <v>0</v>
      </c>
      <c r="H191" s="14">
        <v>0</v>
      </c>
      <c r="I191" s="1">
        <v>0</v>
      </c>
      <c r="J191" s="14">
        <f t="shared" si="10"/>
        <v>810000</v>
      </c>
    </row>
    <row r="192" spans="1:10" x14ac:dyDescent="0.25">
      <c r="A192" s="38">
        <v>47</v>
      </c>
      <c r="B192" s="1" t="s">
        <v>399</v>
      </c>
      <c r="C192" s="14">
        <v>1500000</v>
      </c>
      <c r="D192" s="14">
        <v>0</v>
      </c>
      <c r="E192" s="14">
        <v>0</v>
      </c>
      <c r="F192" s="14">
        <v>0</v>
      </c>
      <c r="G192" s="14">
        <v>0</v>
      </c>
      <c r="H192" s="14">
        <v>0</v>
      </c>
      <c r="I192" s="1">
        <v>0</v>
      </c>
      <c r="J192" s="14">
        <f t="shared" si="10"/>
        <v>1500000</v>
      </c>
    </row>
    <row r="193" spans="1:10" x14ac:dyDescent="0.25">
      <c r="A193" s="38">
        <v>48</v>
      </c>
      <c r="B193" s="115" t="s">
        <v>401</v>
      </c>
      <c r="C193" s="116">
        <v>1650000</v>
      </c>
      <c r="D193" s="116"/>
      <c r="E193" s="116"/>
      <c r="F193" s="116">
        <v>100000</v>
      </c>
      <c r="G193" s="116">
        <v>0</v>
      </c>
      <c r="H193" s="116">
        <v>0</v>
      </c>
      <c r="I193" s="115">
        <v>0</v>
      </c>
      <c r="J193" s="117">
        <f t="shared" si="10"/>
        <v>1750000</v>
      </c>
    </row>
    <row r="194" spans="1:10" x14ac:dyDescent="0.25">
      <c r="A194" s="38">
        <v>49</v>
      </c>
      <c r="B194" s="1" t="s">
        <v>422</v>
      </c>
      <c r="C194" s="14">
        <v>1070000</v>
      </c>
      <c r="D194" s="14">
        <v>35000</v>
      </c>
      <c r="E194" s="14">
        <v>35000</v>
      </c>
      <c r="F194" s="14">
        <v>70000</v>
      </c>
      <c r="G194" s="14">
        <v>35000</v>
      </c>
      <c r="H194" s="14">
        <v>35000</v>
      </c>
      <c r="I194" s="1">
        <v>0</v>
      </c>
      <c r="J194" s="14">
        <f t="shared" si="10"/>
        <v>1280000</v>
      </c>
    </row>
    <row r="195" spans="1:10" x14ac:dyDescent="0.25">
      <c r="A195" s="38">
        <v>50</v>
      </c>
      <c r="B195" s="1"/>
      <c r="C195" s="1"/>
      <c r="D195" s="1"/>
      <c r="E195" s="1"/>
      <c r="F195" s="1"/>
      <c r="G195" s="1"/>
      <c r="H195" s="1"/>
      <c r="I195" s="1"/>
      <c r="J195" s="1"/>
    </row>
    <row r="196" spans="1:10" x14ac:dyDescent="0.25">
      <c r="A196" s="1"/>
      <c r="B196" s="58" t="s">
        <v>138</v>
      </c>
      <c r="C196" s="15">
        <f t="shared" ref="C196:I196" si="11">SUM(C146:C195)</f>
        <v>57640133</v>
      </c>
      <c r="D196" s="15">
        <f t="shared" si="11"/>
        <v>341000</v>
      </c>
      <c r="E196" s="15">
        <f t="shared" si="11"/>
        <v>725515</v>
      </c>
      <c r="F196" s="15">
        <f t="shared" si="11"/>
        <v>435000</v>
      </c>
      <c r="G196" s="15">
        <f t="shared" si="11"/>
        <v>1051000</v>
      </c>
      <c r="H196" s="15">
        <f t="shared" si="11"/>
        <v>788000</v>
      </c>
      <c r="I196" s="15">
        <f t="shared" si="11"/>
        <v>473000</v>
      </c>
      <c r="J196" s="15">
        <f>SUM(C196:I196)</f>
        <v>61453648</v>
      </c>
    </row>
    <row r="197" spans="1:10" ht="15.75" thickBot="1" x14ac:dyDescent="0.3"/>
    <row r="198" spans="1:10" ht="15.75" thickBot="1" x14ac:dyDescent="0.3">
      <c r="J198" s="125">
        <f>SUM(J146:J194)</f>
        <v>61453648</v>
      </c>
    </row>
    <row r="204" spans="1:10" x14ac:dyDescent="0.25">
      <c r="E204" s="26"/>
    </row>
    <row r="206" spans="1:10" x14ac:dyDescent="0.25">
      <c r="J206" s="26"/>
    </row>
    <row r="210" spans="1:5" ht="18.75" x14ac:dyDescent="0.3">
      <c r="B210" s="5" t="s">
        <v>80</v>
      </c>
    </row>
    <row r="211" spans="1:5" ht="18.75" x14ac:dyDescent="0.3">
      <c r="B211" s="5" t="s">
        <v>64</v>
      </c>
    </row>
    <row r="212" spans="1:5" ht="18.75" x14ac:dyDescent="0.3">
      <c r="B212" s="5" t="s">
        <v>243</v>
      </c>
    </row>
    <row r="213" spans="1:5" ht="18.75" x14ac:dyDescent="0.3">
      <c r="B213" s="5" t="s">
        <v>430</v>
      </c>
    </row>
    <row r="215" spans="1:5" x14ac:dyDescent="0.25">
      <c r="A215" s="3" t="s">
        <v>244</v>
      </c>
      <c r="B215" s="3" t="s">
        <v>245</v>
      </c>
      <c r="C215" s="122" t="s">
        <v>249</v>
      </c>
    </row>
    <row r="216" spans="1:5" x14ac:dyDescent="0.25">
      <c r="A216" s="1">
        <v>1</v>
      </c>
      <c r="B216" s="66" t="s">
        <v>22</v>
      </c>
      <c r="C216" s="97">
        <v>19400000</v>
      </c>
    </row>
    <row r="217" spans="1:5" x14ac:dyDescent="0.25">
      <c r="A217" s="1">
        <v>2</v>
      </c>
      <c r="B217" s="66" t="s">
        <v>246</v>
      </c>
      <c r="C217" s="97">
        <v>61453648</v>
      </c>
    </row>
    <row r="218" spans="1:5" x14ac:dyDescent="0.25">
      <c r="A218" s="1">
        <v>3</v>
      </c>
      <c r="B218" s="66" t="s">
        <v>396</v>
      </c>
      <c r="C218" s="98">
        <v>0</v>
      </c>
    </row>
    <row r="219" spans="1:5" x14ac:dyDescent="0.25">
      <c r="A219" s="1"/>
      <c r="B219" s="66" t="s">
        <v>397</v>
      </c>
      <c r="C219" s="98">
        <v>30000</v>
      </c>
    </row>
    <row r="220" spans="1:5" x14ac:dyDescent="0.25">
      <c r="A220" s="1"/>
      <c r="B220" s="66" t="s">
        <v>426</v>
      </c>
      <c r="C220" s="98">
        <v>596500</v>
      </c>
    </row>
    <row r="221" spans="1:5" x14ac:dyDescent="0.25">
      <c r="A221" s="1"/>
      <c r="B221" s="66" t="s">
        <v>427</v>
      </c>
      <c r="C221" s="98">
        <v>200000</v>
      </c>
    </row>
    <row r="222" spans="1:5" x14ac:dyDescent="0.25">
      <c r="A222" s="1">
        <v>4</v>
      </c>
      <c r="B222" s="1" t="s">
        <v>255</v>
      </c>
      <c r="C222" s="88">
        <v>671705</v>
      </c>
    </row>
    <row r="223" spans="1:5" x14ac:dyDescent="0.25">
      <c r="A223" s="1">
        <v>5</v>
      </c>
      <c r="B223" s="1" t="s">
        <v>387</v>
      </c>
      <c r="C223" s="88">
        <v>4550</v>
      </c>
    </row>
    <row r="224" spans="1:5" ht="18.75" x14ac:dyDescent="0.3">
      <c r="A224" s="1"/>
      <c r="B224" s="73" t="s">
        <v>248</v>
      </c>
      <c r="C224" s="89">
        <f>SUM(C216:C223)</f>
        <v>82356403</v>
      </c>
      <c r="D224" s="12"/>
      <c r="E224" s="118"/>
    </row>
    <row r="225" spans="1:9" ht="18.75" x14ac:dyDescent="0.3">
      <c r="B225" s="5"/>
      <c r="C225" s="26"/>
    </row>
    <row r="226" spans="1:9" ht="18.75" x14ac:dyDescent="0.3">
      <c r="A226" s="3" t="s">
        <v>250</v>
      </c>
      <c r="B226" s="73" t="s">
        <v>251</v>
      </c>
      <c r="C226" s="122" t="s">
        <v>249</v>
      </c>
    </row>
    <row r="227" spans="1:9" x14ac:dyDescent="0.25">
      <c r="A227" s="1">
        <v>1</v>
      </c>
      <c r="B227" s="66" t="s">
        <v>252</v>
      </c>
      <c r="C227" s="87">
        <v>20000000</v>
      </c>
    </row>
    <row r="228" spans="1:9" x14ac:dyDescent="0.25">
      <c r="A228" s="1">
        <v>2</v>
      </c>
      <c r="B228" s="66" t="s">
        <v>253</v>
      </c>
      <c r="C228" s="88">
        <v>56905180</v>
      </c>
    </row>
    <row r="229" spans="1:9" x14ac:dyDescent="0.25">
      <c r="A229" s="1">
        <v>3</v>
      </c>
      <c r="B229" s="66" t="s">
        <v>254</v>
      </c>
      <c r="C229" s="88">
        <v>627058</v>
      </c>
    </row>
    <row r="230" spans="1:9" x14ac:dyDescent="0.25">
      <c r="A230" s="1">
        <v>4</v>
      </c>
      <c r="B230" s="1" t="s">
        <v>296</v>
      </c>
      <c r="C230" s="88">
        <v>3950000</v>
      </c>
    </row>
    <row r="231" spans="1:9" x14ac:dyDescent="0.25">
      <c r="A231" s="1">
        <v>5</v>
      </c>
      <c r="B231" s="1" t="s">
        <v>400</v>
      </c>
      <c r="C231" s="88">
        <v>0</v>
      </c>
    </row>
    <row r="232" spans="1:9" x14ac:dyDescent="0.25">
      <c r="A232" s="1"/>
      <c r="B232" s="1" t="s">
        <v>310</v>
      </c>
      <c r="C232" s="88">
        <v>0</v>
      </c>
    </row>
    <row r="233" spans="1:9" x14ac:dyDescent="0.25">
      <c r="A233" s="1"/>
      <c r="B233" s="1" t="s">
        <v>297</v>
      </c>
      <c r="C233" s="88">
        <v>874165</v>
      </c>
    </row>
    <row r="234" spans="1:9" ht="18.75" x14ac:dyDescent="0.3">
      <c r="A234" s="1"/>
      <c r="B234" s="73" t="s">
        <v>248</v>
      </c>
      <c r="C234" s="89">
        <f>SUM(C227:C233)</f>
        <v>82356403</v>
      </c>
    </row>
    <row r="236" spans="1:9" ht="15.75" thickBot="1" x14ac:dyDescent="0.3"/>
    <row r="237" spans="1:9" x14ac:dyDescent="0.25">
      <c r="B237" s="31" t="s">
        <v>343</v>
      </c>
      <c r="C237" s="102"/>
      <c r="D237" s="102"/>
      <c r="E237" s="108">
        <v>20000000</v>
      </c>
    </row>
    <row r="238" spans="1:9" x14ac:dyDescent="0.25">
      <c r="B238" s="103" t="s">
        <v>341</v>
      </c>
      <c r="C238" s="22"/>
      <c r="D238" s="22"/>
      <c r="E238" s="109">
        <v>500000</v>
      </c>
    </row>
    <row r="239" spans="1:9" ht="15.75" thickBot="1" x14ac:dyDescent="0.3">
      <c r="B239" s="106" t="s">
        <v>342</v>
      </c>
      <c r="C239" s="107"/>
      <c r="D239" s="107"/>
      <c r="E239" s="110">
        <v>100000</v>
      </c>
      <c r="I239" s="101"/>
    </row>
    <row r="240" spans="1:9" ht="15.75" thickBot="1" x14ac:dyDescent="0.3">
      <c r="A240" s="22"/>
      <c r="B240" s="104" t="s">
        <v>344</v>
      </c>
      <c r="C240" s="105"/>
      <c r="D240" s="105"/>
      <c r="E240" s="111">
        <v>19400000</v>
      </c>
    </row>
    <row r="248" spans="1:7" ht="18.75" x14ac:dyDescent="0.3">
      <c r="B248" s="5" t="s">
        <v>80</v>
      </c>
    </row>
    <row r="249" spans="1:7" ht="18.75" x14ac:dyDescent="0.3">
      <c r="B249" s="5" t="s">
        <v>64</v>
      </c>
    </row>
    <row r="250" spans="1:7" x14ac:dyDescent="0.25">
      <c r="B250" t="s">
        <v>430</v>
      </c>
    </row>
    <row r="251" spans="1:7" ht="15.75" x14ac:dyDescent="0.25">
      <c r="A251" s="9" t="s">
        <v>156</v>
      </c>
      <c r="B251" s="8" t="s">
        <v>139</v>
      </c>
      <c r="C251" s="9" t="s">
        <v>140</v>
      </c>
      <c r="D251" s="9" t="s">
        <v>152</v>
      </c>
      <c r="E251" s="9" t="s">
        <v>141</v>
      </c>
      <c r="F251" s="66" t="s">
        <v>142</v>
      </c>
      <c r="G251" s="17" t="s">
        <v>425</v>
      </c>
    </row>
    <row r="252" spans="1:7" ht="15.75" x14ac:dyDescent="0.25">
      <c r="A252" s="9"/>
      <c r="B252" s="8" t="s">
        <v>406</v>
      </c>
      <c r="C252" s="56">
        <v>133972</v>
      </c>
      <c r="D252" s="56">
        <v>539370</v>
      </c>
      <c r="E252" s="56">
        <v>19960</v>
      </c>
      <c r="F252" s="56">
        <v>88545</v>
      </c>
      <c r="G252" s="1">
        <v>0</v>
      </c>
    </row>
    <row r="253" spans="1:7" ht="15.75" x14ac:dyDescent="0.25">
      <c r="A253" s="9">
        <v>1</v>
      </c>
      <c r="B253" s="9" t="s">
        <v>407</v>
      </c>
      <c r="C253" s="56">
        <v>0</v>
      </c>
      <c r="D253" s="56">
        <v>0</v>
      </c>
      <c r="E253" s="56">
        <v>0</v>
      </c>
      <c r="F253" s="56">
        <v>60</v>
      </c>
      <c r="G253" s="1">
        <v>0</v>
      </c>
    </row>
    <row r="254" spans="1:7" ht="15.75" x14ac:dyDescent="0.25">
      <c r="A254" s="9">
        <v>2</v>
      </c>
      <c r="B254" s="9" t="s">
        <v>408</v>
      </c>
      <c r="C254" s="56">
        <v>0</v>
      </c>
      <c r="D254" s="56">
        <v>0</v>
      </c>
      <c r="E254" s="56">
        <v>0</v>
      </c>
      <c r="F254" s="56">
        <v>68</v>
      </c>
      <c r="G254" s="1">
        <v>0</v>
      </c>
    </row>
    <row r="255" spans="1:7" ht="15.75" x14ac:dyDescent="0.25">
      <c r="A255" s="9">
        <v>3</v>
      </c>
      <c r="B255" s="9" t="s">
        <v>409</v>
      </c>
      <c r="C255" s="56">
        <v>0</v>
      </c>
      <c r="D255" s="56">
        <v>0</v>
      </c>
      <c r="E255" s="56">
        <v>0</v>
      </c>
      <c r="F255" s="56">
        <v>465</v>
      </c>
      <c r="G255" s="1">
        <v>0</v>
      </c>
    </row>
    <row r="256" spans="1:7" ht="15.75" x14ac:dyDescent="0.25">
      <c r="A256" s="9">
        <v>4</v>
      </c>
      <c r="B256" s="9" t="s">
        <v>410</v>
      </c>
      <c r="C256" s="56">
        <v>0</v>
      </c>
      <c r="D256" s="56"/>
      <c r="E256" s="56">
        <v>0</v>
      </c>
      <c r="F256" s="56">
        <v>0</v>
      </c>
      <c r="G256" s="1">
        <v>0</v>
      </c>
    </row>
    <row r="257" spans="1:7" ht="15.75" x14ac:dyDescent="0.25">
      <c r="A257" s="9">
        <v>5</v>
      </c>
      <c r="B257" s="9" t="s">
        <v>411</v>
      </c>
      <c r="C257" s="56">
        <v>0</v>
      </c>
      <c r="D257" s="56"/>
      <c r="E257" s="56">
        <v>0</v>
      </c>
      <c r="F257" s="56">
        <v>172</v>
      </c>
      <c r="G257" s="1">
        <v>0</v>
      </c>
    </row>
    <row r="258" spans="1:7" ht="15.75" x14ac:dyDescent="0.25">
      <c r="A258" s="8">
        <v>6</v>
      </c>
      <c r="B258" s="8" t="s">
        <v>412</v>
      </c>
      <c r="C258" s="57">
        <v>8722</v>
      </c>
      <c r="D258" s="1"/>
      <c r="E258" s="1">
        <v>0</v>
      </c>
      <c r="F258" s="1">
        <v>1217.2</v>
      </c>
      <c r="G258" s="1">
        <v>0</v>
      </c>
    </row>
    <row r="259" spans="1:7" ht="15.75" x14ac:dyDescent="0.25">
      <c r="A259" s="9">
        <v>7</v>
      </c>
      <c r="B259" s="9" t="s">
        <v>413</v>
      </c>
      <c r="C259" s="56">
        <v>0</v>
      </c>
      <c r="D259" s="56">
        <v>0</v>
      </c>
      <c r="E259" s="56">
        <v>0</v>
      </c>
      <c r="F259" s="56">
        <v>10</v>
      </c>
      <c r="G259" s="1">
        <v>0</v>
      </c>
    </row>
    <row r="260" spans="1:7" ht="15.75" x14ac:dyDescent="0.25">
      <c r="A260" s="9">
        <v>8</v>
      </c>
      <c r="B260" s="9" t="s">
        <v>414</v>
      </c>
      <c r="C260" s="56">
        <v>0</v>
      </c>
      <c r="D260" s="56">
        <v>0</v>
      </c>
      <c r="E260" s="56">
        <v>0</v>
      </c>
      <c r="F260" s="56">
        <v>20</v>
      </c>
      <c r="G260" s="1">
        <v>0</v>
      </c>
    </row>
    <row r="261" spans="1:7" ht="15.75" x14ac:dyDescent="0.25">
      <c r="A261" s="9">
        <v>9</v>
      </c>
      <c r="B261" s="9" t="s">
        <v>415</v>
      </c>
      <c r="C261" s="56">
        <v>0</v>
      </c>
      <c r="D261" s="56">
        <v>0</v>
      </c>
      <c r="E261" s="56">
        <v>15800</v>
      </c>
      <c r="F261" s="56">
        <v>240</v>
      </c>
      <c r="G261" s="1">
        <v>42000</v>
      </c>
    </row>
    <row r="262" spans="1:7" ht="15.75" x14ac:dyDescent="0.25">
      <c r="A262" s="9">
        <v>10</v>
      </c>
      <c r="B262" s="9" t="s">
        <v>416</v>
      </c>
      <c r="C262" s="56">
        <v>0</v>
      </c>
      <c r="D262" s="56">
        <v>0</v>
      </c>
      <c r="E262" s="56">
        <v>0</v>
      </c>
      <c r="F262" s="56">
        <v>250</v>
      </c>
      <c r="G262" s="1">
        <v>0</v>
      </c>
    </row>
    <row r="263" spans="1:7" ht="15.75" x14ac:dyDescent="0.25">
      <c r="A263" s="9">
        <v>11</v>
      </c>
      <c r="B263" s="9" t="s">
        <v>417</v>
      </c>
      <c r="C263" s="56">
        <v>0</v>
      </c>
      <c r="D263" s="56">
        <v>0</v>
      </c>
      <c r="E263" s="56">
        <v>0</v>
      </c>
      <c r="F263" s="56"/>
      <c r="G263" s="1"/>
    </row>
    <row r="264" spans="1:7" ht="15.75" x14ac:dyDescent="0.25">
      <c r="A264" s="9">
        <v>12</v>
      </c>
      <c r="B264" s="66" t="s">
        <v>418</v>
      </c>
      <c r="C264" s="56">
        <v>7334</v>
      </c>
      <c r="D264" s="56">
        <v>0</v>
      </c>
      <c r="E264" s="56">
        <v>0</v>
      </c>
      <c r="F264" s="56">
        <v>4406</v>
      </c>
      <c r="G264" s="1"/>
    </row>
    <row r="265" spans="1:7" ht="15.75" x14ac:dyDescent="0.25">
      <c r="A265" s="9"/>
      <c r="B265" s="55" t="s">
        <v>138</v>
      </c>
      <c r="C265" s="57">
        <f>SUM(C252:C264)</f>
        <v>150028</v>
      </c>
      <c r="D265" s="57">
        <f>SUM(D252:D264)</f>
        <v>539370</v>
      </c>
      <c r="E265" s="57">
        <f>SUM(E252:E264)</f>
        <v>35760</v>
      </c>
      <c r="F265" s="57">
        <f>SUM(F252:F264)</f>
        <v>95453.2</v>
      </c>
      <c r="G265" s="57">
        <f>SUM(G252:G264)</f>
        <v>42000</v>
      </c>
    </row>
    <row r="266" spans="1:7" ht="15.75" thickBot="1" x14ac:dyDescent="0.3"/>
    <row r="267" spans="1:7" ht="16.5" thickBot="1" x14ac:dyDescent="0.3">
      <c r="D267" s="12" t="s">
        <v>203</v>
      </c>
      <c r="E267" s="12"/>
      <c r="F267" s="65">
        <f>SUM(C265+D265+E265+G265)-(F265)</f>
        <v>671704.8</v>
      </c>
    </row>
    <row r="279" spans="1:10" ht="18.75" x14ac:dyDescent="0.3">
      <c r="B279" s="5" t="s">
        <v>80</v>
      </c>
    </row>
    <row r="280" spans="1:10" ht="18.75" x14ac:dyDescent="0.3">
      <c r="B280" s="5" t="s">
        <v>64</v>
      </c>
    </row>
    <row r="281" spans="1:10" x14ac:dyDescent="0.25">
      <c r="B281" t="s">
        <v>385</v>
      </c>
    </row>
    <row r="282" spans="1:10" x14ac:dyDescent="0.25">
      <c r="B282" t="s">
        <v>430</v>
      </c>
    </row>
    <row r="283" spans="1:10" x14ac:dyDescent="0.25">
      <c r="A283" s="3" t="s">
        <v>163</v>
      </c>
      <c r="B283" s="3" t="s">
        <v>164</v>
      </c>
      <c r="C283" s="59" t="s">
        <v>424</v>
      </c>
      <c r="D283" s="13">
        <v>44013</v>
      </c>
      <c r="E283" s="13">
        <v>44044</v>
      </c>
      <c r="F283" s="13">
        <v>44075</v>
      </c>
      <c r="G283" s="13">
        <v>44105</v>
      </c>
      <c r="H283" s="13">
        <v>44136</v>
      </c>
      <c r="I283" s="13">
        <v>44166</v>
      </c>
      <c r="J283" s="1" t="s">
        <v>81</v>
      </c>
    </row>
    <row r="284" spans="1:10" x14ac:dyDescent="0.25">
      <c r="A284" s="1">
        <v>1</v>
      </c>
      <c r="B284" s="1" t="s">
        <v>386</v>
      </c>
      <c r="C284" s="27">
        <v>4550</v>
      </c>
      <c r="D284" s="27">
        <v>0</v>
      </c>
      <c r="E284" s="27">
        <v>0</v>
      </c>
      <c r="F284" s="27">
        <v>0</v>
      </c>
      <c r="G284" s="27">
        <v>0</v>
      </c>
      <c r="H284" s="38"/>
      <c r="I284" s="38"/>
      <c r="J284" s="72">
        <f>SUM(C284:I284)</f>
        <v>4550</v>
      </c>
    </row>
    <row r="285" spans="1:10" x14ac:dyDescent="0.25">
      <c r="A285" s="1">
        <v>2</v>
      </c>
      <c r="B285" s="1"/>
      <c r="C285" s="27">
        <v>0</v>
      </c>
      <c r="D285" s="27">
        <v>0</v>
      </c>
      <c r="E285" s="27">
        <v>0</v>
      </c>
      <c r="F285" s="27"/>
      <c r="G285" s="27"/>
      <c r="H285" s="38"/>
      <c r="I285" s="38"/>
      <c r="J285" s="72">
        <f t="shared" ref="J285:J286" si="12">SUM(C285:I285)</f>
        <v>0</v>
      </c>
    </row>
    <row r="286" spans="1:10" x14ac:dyDescent="0.25">
      <c r="A286" s="1">
        <v>3</v>
      </c>
      <c r="B286" s="1"/>
      <c r="C286" s="27">
        <v>0</v>
      </c>
      <c r="D286" s="27">
        <v>0</v>
      </c>
      <c r="E286" s="27">
        <v>0</v>
      </c>
      <c r="F286" s="27">
        <v>0</v>
      </c>
      <c r="G286" s="27"/>
      <c r="H286" s="38"/>
      <c r="I286" s="38"/>
      <c r="J286" s="72">
        <f t="shared" si="12"/>
        <v>0</v>
      </c>
    </row>
    <row r="291" spans="1:10" ht="18.75" x14ac:dyDescent="0.3">
      <c r="B291" s="5" t="s">
        <v>80</v>
      </c>
    </row>
    <row r="292" spans="1:10" ht="18.75" x14ac:dyDescent="0.3">
      <c r="B292" s="5" t="s">
        <v>64</v>
      </c>
    </row>
    <row r="293" spans="1:10" x14ac:dyDescent="0.25">
      <c r="B293" s="12" t="s">
        <v>429</v>
      </c>
    </row>
    <row r="294" spans="1:10" x14ac:dyDescent="0.25">
      <c r="B294" t="s">
        <v>430</v>
      </c>
    </row>
    <row r="295" spans="1:10" x14ac:dyDescent="0.25">
      <c r="A295" s="3" t="s">
        <v>163</v>
      </c>
      <c r="B295" s="3" t="s">
        <v>164</v>
      </c>
      <c r="C295" s="59" t="s">
        <v>424</v>
      </c>
      <c r="D295" s="13">
        <v>44013</v>
      </c>
      <c r="E295" s="13">
        <v>44044</v>
      </c>
      <c r="F295" s="13">
        <v>44075</v>
      </c>
      <c r="G295" s="13">
        <v>44105</v>
      </c>
      <c r="H295" s="13">
        <v>44136</v>
      </c>
      <c r="I295" s="13">
        <v>44166</v>
      </c>
      <c r="J295" s="1" t="s">
        <v>81</v>
      </c>
    </row>
    <row r="296" spans="1:10" x14ac:dyDescent="0.25">
      <c r="A296" s="1">
        <v>1</v>
      </c>
      <c r="B296" s="1" t="s">
        <v>386</v>
      </c>
      <c r="C296" s="27">
        <v>0</v>
      </c>
      <c r="D296" s="27">
        <v>0</v>
      </c>
      <c r="E296" s="27">
        <v>0</v>
      </c>
      <c r="F296" s="27">
        <v>0</v>
      </c>
      <c r="G296" s="27">
        <v>200000</v>
      </c>
      <c r="H296" s="38"/>
      <c r="I296" s="38"/>
      <c r="J296" s="72">
        <f>SUM(C296:I296)</f>
        <v>200000</v>
      </c>
    </row>
    <row r="297" spans="1:10" x14ac:dyDescent="0.25">
      <c r="A297" s="1">
        <v>2</v>
      </c>
      <c r="B297" s="1"/>
      <c r="C297" s="27">
        <v>0</v>
      </c>
      <c r="D297" s="27">
        <v>0</v>
      </c>
      <c r="E297" s="27">
        <v>0</v>
      </c>
      <c r="F297" s="27"/>
      <c r="G297" s="27"/>
      <c r="H297" s="38"/>
      <c r="I297" s="38"/>
      <c r="J297" s="72">
        <f t="shared" ref="J297:J298" si="13">SUM(C297:I297)</f>
        <v>0</v>
      </c>
    </row>
    <row r="298" spans="1:10" x14ac:dyDescent="0.25">
      <c r="A298" s="1">
        <v>3</v>
      </c>
      <c r="B298" s="1"/>
      <c r="C298" s="27">
        <v>0</v>
      </c>
      <c r="D298" s="27">
        <v>0</v>
      </c>
      <c r="E298" s="27">
        <v>0</v>
      </c>
      <c r="F298" s="27">
        <v>0</v>
      </c>
      <c r="G298" s="27"/>
      <c r="H298" s="38"/>
      <c r="I298" s="38"/>
      <c r="J298" s="72">
        <f t="shared" si="13"/>
        <v>0</v>
      </c>
    </row>
  </sheetData>
  <pageMargins left="0.7" right="0.7" top="0.75" bottom="0.75" header="0.3" footer="0.3"/>
  <pageSetup paperSize="9" scale="93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2"/>
  <sheetViews>
    <sheetView topLeftCell="A40" workbookViewId="0">
      <selection activeCell="A40" sqref="A1:XFD1048576"/>
    </sheetView>
  </sheetViews>
  <sheetFormatPr defaultRowHeight="15" x14ac:dyDescent="0.25"/>
  <cols>
    <col min="1" max="1" width="4.28515625" customWidth="1"/>
    <col min="2" max="2" width="35.7109375" customWidth="1"/>
    <col min="3" max="3" width="16" customWidth="1"/>
    <col min="4" max="4" width="10.42578125" customWidth="1"/>
    <col min="5" max="5" width="11.42578125" customWidth="1"/>
    <col min="6" max="6" width="10.28515625" customWidth="1"/>
    <col min="7" max="7" width="10.5703125" customWidth="1"/>
    <col min="8" max="8" width="11.28515625" customWidth="1"/>
    <col min="9" max="9" width="10.28515625" customWidth="1"/>
    <col min="10" max="10" width="12.7109375" customWidth="1"/>
  </cols>
  <sheetData>
    <row r="1" spans="1:10" ht="13.5" customHeight="1" x14ac:dyDescent="0.25">
      <c r="A1" s="94"/>
      <c r="B1" s="54" t="s">
        <v>80</v>
      </c>
      <c r="C1" s="54"/>
      <c r="D1" s="54"/>
      <c r="E1" s="94"/>
      <c r="F1" s="94"/>
      <c r="G1" s="94"/>
      <c r="H1" s="94"/>
      <c r="I1" s="94"/>
      <c r="J1" s="94"/>
    </row>
    <row r="2" spans="1:10" ht="12.75" customHeight="1" x14ac:dyDescent="0.25">
      <c r="A2" s="94"/>
      <c r="B2" s="54" t="s">
        <v>64</v>
      </c>
      <c r="C2" s="54"/>
      <c r="D2" s="54"/>
      <c r="E2" s="94"/>
      <c r="F2" s="94"/>
      <c r="G2" s="94"/>
      <c r="H2" s="94"/>
      <c r="I2" s="94"/>
      <c r="J2" s="94"/>
    </row>
    <row r="3" spans="1:10" ht="12" customHeight="1" x14ac:dyDescent="0.25">
      <c r="A3" s="94"/>
      <c r="B3" s="54" t="s">
        <v>434</v>
      </c>
      <c r="C3" s="54"/>
      <c r="D3" s="54"/>
      <c r="E3" s="94"/>
      <c r="F3" s="94"/>
      <c r="G3" s="94"/>
      <c r="H3" s="94"/>
      <c r="I3" s="94"/>
      <c r="J3" s="94"/>
    </row>
    <row r="4" spans="1:10" ht="15.75" x14ac:dyDescent="0.25">
      <c r="A4" s="1" t="s">
        <v>21</v>
      </c>
      <c r="B4" s="8" t="s">
        <v>6</v>
      </c>
      <c r="C4" s="59" t="s">
        <v>435</v>
      </c>
      <c r="D4" s="13">
        <v>44197</v>
      </c>
      <c r="E4" s="13">
        <v>44228</v>
      </c>
      <c r="F4" s="13">
        <v>44256</v>
      </c>
      <c r="G4" s="13">
        <v>44287</v>
      </c>
      <c r="H4" s="13">
        <v>44317</v>
      </c>
      <c r="I4" s="13">
        <v>44348</v>
      </c>
      <c r="J4" s="1" t="s">
        <v>81</v>
      </c>
    </row>
    <row r="5" spans="1:10" x14ac:dyDescent="0.25">
      <c r="A5" s="1">
        <v>1</v>
      </c>
      <c r="B5" s="1" t="s">
        <v>83</v>
      </c>
      <c r="C5" s="27">
        <v>16100</v>
      </c>
      <c r="D5" s="27">
        <v>0</v>
      </c>
      <c r="E5" s="27">
        <v>0</v>
      </c>
      <c r="F5" s="38">
        <v>0</v>
      </c>
      <c r="G5" s="38">
        <v>0</v>
      </c>
      <c r="H5" s="38">
        <v>0</v>
      </c>
      <c r="I5" s="38">
        <v>0</v>
      </c>
      <c r="J5" s="27">
        <f t="shared" ref="J5:J37" si="0">SUM(C5:I5)</f>
        <v>16100</v>
      </c>
    </row>
    <row r="6" spans="1:10" ht="15.75" x14ac:dyDescent="0.25">
      <c r="A6" s="1">
        <v>2</v>
      </c>
      <c r="B6" s="17" t="s">
        <v>95</v>
      </c>
      <c r="C6" s="68">
        <v>852900</v>
      </c>
      <c r="D6" s="27">
        <v>0</v>
      </c>
      <c r="E6" s="27">
        <v>0</v>
      </c>
      <c r="F6" s="38">
        <v>0</v>
      </c>
      <c r="G6" s="38">
        <v>0</v>
      </c>
      <c r="H6" s="38">
        <v>0</v>
      </c>
      <c r="I6" s="38">
        <v>0</v>
      </c>
      <c r="J6" s="27">
        <f t="shared" si="0"/>
        <v>852900</v>
      </c>
    </row>
    <row r="7" spans="1:10" x14ac:dyDescent="0.25">
      <c r="A7" s="1">
        <v>3</v>
      </c>
      <c r="B7" s="1" t="s">
        <v>82</v>
      </c>
      <c r="C7" s="27">
        <v>115500</v>
      </c>
      <c r="D7" s="27">
        <v>0</v>
      </c>
      <c r="E7" s="27">
        <v>0</v>
      </c>
      <c r="F7" s="38">
        <v>0</v>
      </c>
      <c r="G7" s="38">
        <v>0</v>
      </c>
      <c r="H7" s="38">
        <v>0</v>
      </c>
      <c r="I7" s="38">
        <v>0</v>
      </c>
      <c r="J7" s="27">
        <f t="shared" si="0"/>
        <v>115500</v>
      </c>
    </row>
    <row r="8" spans="1:10" x14ac:dyDescent="0.25">
      <c r="A8" s="1">
        <v>4</v>
      </c>
      <c r="B8" s="1" t="s">
        <v>107</v>
      </c>
      <c r="C8" s="27">
        <v>320120</v>
      </c>
      <c r="D8" s="27">
        <v>0</v>
      </c>
      <c r="E8" s="27">
        <v>0</v>
      </c>
      <c r="F8" s="38">
        <v>0</v>
      </c>
      <c r="G8" s="38">
        <v>0</v>
      </c>
      <c r="H8" s="38">
        <v>0</v>
      </c>
      <c r="I8" s="38">
        <v>0</v>
      </c>
      <c r="J8" s="27">
        <f t="shared" si="0"/>
        <v>320120</v>
      </c>
    </row>
    <row r="9" spans="1:10" x14ac:dyDescent="0.25">
      <c r="A9" s="1">
        <v>5</v>
      </c>
      <c r="B9" s="1" t="s">
        <v>123</v>
      </c>
      <c r="C9" s="27">
        <v>571500</v>
      </c>
      <c r="D9" s="27">
        <v>0</v>
      </c>
      <c r="E9" s="27">
        <v>0</v>
      </c>
      <c r="F9" s="38">
        <v>0</v>
      </c>
      <c r="G9" s="38">
        <v>0</v>
      </c>
      <c r="H9" s="38">
        <v>0</v>
      </c>
      <c r="I9" s="38">
        <v>0</v>
      </c>
      <c r="J9" s="27">
        <f t="shared" si="0"/>
        <v>571500</v>
      </c>
    </row>
    <row r="10" spans="1:10" x14ac:dyDescent="0.25">
      <c r="A10" s="1">
        <v>6</v>
      </c>
      <c r="B10" s="1" t="s">
        <v>381</v>
      </c>
      <c r="C10" s="27">
        <v>266500</v>
      </c>
      <c r="D10" s="27">
        <v>0</v>
      </c>
      <c r="E10" s="27">
        <v>0</v>
      </c>
      <c r="F10" s="38">
        <v>0</v>
      </c>
      <c r="G10" s="38">
        <v>0</v>
      </c>
      <c r="H10" s="38">
        <v>0</v>
      </c>
      <c r="I10" s="38">
        <v>0</v>
      </c>
      <c r="J10" s="27">
        <f t="shared" si="0"/>
        <v>266500</v>
      </c>
    </row>
    <row r="11" spans="1:10" x14ac:dyDescent="0.25">
      <c r="A11" s="1">
        <v>7</v>
      </c>
      <c r="B11" s="1" t="s">
        <v>84</v>
      </c>
      <c r="C11" s="27">
        <v>154708</v>
      </c>
      <c r="D11" s="27">
        <v>0</v>
      </c>
      <c r="E11" s="27">
        <v>0</v>
      </c>
      <c r="F11" s="38">
        <v>0</v>
      </c>
      <c r="G11" s="38">
        <v>0</v>
      </c>
      <c r="H11" s="38">
        <v>0</v>
      </c>
      <c r="I11" s="38">
        <v>0</v>
      </c>
      <c r="J11" s="27">
        <f t="shared" si="0"/>
        <v>154708</v>
      </c>
    </row>
    <row r="12" spans="1:10" x14ac:dyDescent="0.25">
      <c r="A12" s="1">
        <v>8</v>
      </c>
      <c r="B12" s="1" t="s">
        <v>109</v>
      </c>
      <c r="C12" s="27">
        <v>13768381</v>
      </c>
      <c r="D12" s="27">
        <v>0</v>
      </c>
      <c r="E12" s="27">
        <v>31630</v>
      </c>
      <c r="F12" s="27">
        <v>0</v>
      </c>
      <c r="G12" s="27">
        <v>6495</v>
      </c>
      <c r="H12" s="27">
        <v>0</v>
      </c>
      <c r="I12" s="27">
        <v>10420</v>
      </c>
      <c r="J12" s="27">
        <f t="shared" si="0"/>
        <v>13816926</v>
      </c>
    </row>
    <row r="13" spans="1:10" x14ac:dyDescent="0.25">
      <c r="A13" s="1">
        <v>9</v>
      </c>
      <c r="B13" s="1" t="s">
        <v>37</v>
      </c>
      <c r="C13" s="27">
        <v>6050550</v>
      </c>
      <c r="D13" s="27">
        <v>0</v>
      </c>
      <c r="E13" s="27">
        <v>0</v>
      </c>
      <c r="F13" s="27">
        <f>50000+75000</f>
        <v>125000</v>
      </c>
      <c r="G13" s="27">
        <v>90000</v>
      </c>
      <c r="H13" s="27">
        <v>0</v>
      </c>
      <c r="I13" s="27">
        <v>0</v>
      </c>
      <c r="J13" s="27">
        <f t="shared" si="0"/>
        <v>6265550</v>
      </c>
    </row>
    <row r="14" spans="1:10" x14ac:dyDescent="0.25">
      <c r="A14" s="1">
        <v>10</v>
      </c>
      <c r="B14" s="1" t="s">
        <v>111</v>
      </c>
      <c r="C14" s="27">
        <v>4952683</v>
      </c>
      <c r="D14" s="27">
        <v>0</v>
      </c>
      <c r="E14" s="27">
        <v>0</v>
      </c>
      <c r="F14" s="27">
        <v>0</v>
      </c>
      <c r="G14" s="27">
        <v>0</v>
      </c>
      <c r="H14" s="27">
        <v>0</v>
      </c>
      <c r="I14" s="27">
        <v>0</v>
      </c>
      <c r="J14" s="27">
        <f t="shared" si="0"/>
        <v>4952683</v>
      </c>
    </row>
    <row r="15" spans="1:10" x14ac:dyDescent="0.25">
      <c r="A15" s="1">
        <v>11</v>
      </c>
      <c r="B15" s="1" t="s">
        <v>96</v>
      </c>
      <c r="C15" s="27">
        <v>1750050</v>
      </c>
      <c r="D15" s="27">
        <v>30000</v>
      </c>
      <c r="E15" s="27">
        <v>0</v>
      </c>
      <c r="F15" s="27">
        <v>15000</v>
      </c>
      <c r="G15" s="27">
        <v>0</v>
      </c>
      <c r="H15" s="27">
        <v>39000</v>
      </c>
      <c r="I15" s="27">
        <v>0</v>
      </c>
      <c r="J15" s="27">
        <f t="shared" si="0"/>
        <v>1834050</v>
      </c>
    </row>
    <row r="16" spans="1:10" x14ac:dyDescent="0.25">
      <c r="A16" s="1">
        <v>12</v>
      </c>
      <c r="B16" s="1" t="s">
        <v>217</v>
      </c>
      <c r="C16" s="27">
        <v>787715</v>
      </c>
      <c r="D16" s="27">
        <v>3500</v>
      </c>
      <c r="E16" s="27">
        <v>0</v>
      </c>
      <c r="F16" s="27">
        <v>0</v>
      </c>
      <c r="G16" s="27">
        <v>0</v>
      </c>
      <c r="H16" s="27">
        <v>0</v>
      </c>
      <c r="I16" s="27">
        <v>1900</v>
      </c>
      <c r="J16" s="27">
        <f t="shared" si="0"/>
        <v>793115</v>
      </c>
    </row>
    <row r="17" spans="1:10" x14ac:dyDescent="0.25">
      <c r="A17" s="1">
        <v>13</v>
      </c>
      <c r="B17" s="1" t="s">
        <v>336</v>
      </c>
      <c r="C17" s="27">
        <v>192980</v>
      </c>
      <c r="D17" s="27">
        <v>0</v>
      </c>
      <c r="E17" s="27">
        <v>0</v>
      </c>
      <c r="F17" s="27">
        <v>0</v>
      </c>
      <c r="G17" s="27">
        <v>0</v>
      </c>
      <c r="H17" s="27">
        <v>0</v>
      </c>
      <c r="I17" s="27">
        <v>0</v>
      </c>
      <c r="J17" s="27">
        <f t="shared" si="0"/>
        <v>192980</v>
      </c>
    </row>
    <row r="18" spans="1:10" x14ac:dyDescent="0.25">
      <c r="A18" s="1">
        <v>14</v>
      </c>
      <c r="B18" s="1" t="s">
        <v>108</v>
      </c>
      <c r="C18" s="27">
        <v>257254</v>
      </c>
      <c r="D18" s="27">
        <v>0</v>
      </c>
      <c r="E18" s="27">
        <v>0</v>
      </c>
      <c r="F18" s="27">
        <v>0</v>
      </c>
      <c r="G18" s="27">
        <v>0</v>
      </c>
      <c r="H18" s="27">
        <v>0</v>
      </c>
      <c r="I18" s="27">
        <v>0</v>
      </c>
      <c r="J18" s="27">
        <f t="shared" si="0"/>
        <v>257254</v>
      </c>
    </row>
    <row r="19" spans="1:10" x14ac:dyDescent="0.25">
      <c r="A19" s="1">
        <v>15</v>
      </c>
      <c r="B19" s="1" t="s">
        <v>119</v>
      </c>
      <c r="C19" s="27">
        <v>720759</v>
      </c>
      <c r="D19" s="27">
        <v>22000</v>
      </c>
      <c r="E19" s="27">
        <v>23745</v>
      </c>
      <c r="F19" s="27">
        <v>26000</v>
      </c>
      <c r="G19" s="27">
        <v>30055</v>
      </c>
      <c r="H19" s="27">
        <v>30000</v>
      </c>
      <c r="I19" s="27">
        <v>30000</v>
      </c>
      <c r="J19" s="27">
        <f t="shared" si="0"/>
        <v>882559</v>
      </c>
    </row>
    <row r="20" spans="1:10" x14ac:dyDescent="0.25">
      <c r="A20" s="1">
        <v>16</v>
      </c>
      <c r="B20" s="1" t="s">
        <v>331</v>
      </c>
      <c r="C20" s="27">
        <v>676220</v>
      </c>
      <c r="D20" s="27">
        <v>0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f t="shared" si="0"/>
        <v>676220</v>
      </c>
    </row>
    <row r="21" spans="1:10" x14ac:dyDescent="0.25">
      <c r="A21" s="1">
        <v>17</v>
      </c>
      <c r="B21" s="1" t="s">
        <v>88</v>
      </c>
      <c r="C21" s="27">
        <v>169309</v>
      </c>
      <c r="D21" s="27">
        <v>0</v>
      </c>
      <c r="E21" s="27">
        <v>0</v>
      </c>
      <c r="F21" s="27">
        <v>0</v>
      </c>
      <c r="G21" s="27">
        <v>0</v>
      </c>
      <c r="H21" s="27">
        <v>0</v>
      </c>
      <c r="I21" s="27">
        <v>0</v>
      </c>
      <c r="J21" s="27">
        <f t="shared" si="0"/>
        <v>169309</v>
      </c>
    </row>
    <row r="22" spans="1:10" x14ac:dyDescent="0.25">
      <c r="A22" s="1">
        <v>18</v>
      </c>
      <c r="B22" s="1" t="s">
        <v>89</v>
      </c>
      <c r="C22" s="27">
        <v>105551</v>
      </c>
      <c r="D22" s="27">
        <v>0</v>
      </c>
      <c r="E22" s="27">
        <v>0</v>
      </c>
      <c r="F22" s="27">
        <v>0</v>
      </c>
      <c r="G22" s="27">
        <v>1260</v>
      </c>
      <c r="H22" s="27">
        <v>0</v>
      </c>
      <c r="I22" s="27">
        <v>940</v>
      </c>
      <c r="J22" s="27">
        <f t="shared" si="0"/>
        <v>107751</v>
      </c>
    </row>
    <row r="23" spans="1:10" x14ac:dyDescent="0.25">
      <c r="A23" s="1">
        <v>19</v>
      </c>
      <c r="B23" s="1" t="s">
        <v>90</v>
      </c>
      <c r="C23" s="27">
        <v>898500</v>
      </c>
      <c r="D23" s="27">
        <v>50000</v>
      </c>
      <c r="E23" s="27">
        <v>0</v>
      </c>
      <c r="F23" s="27">
        <v>0</v>
      </c>
      <c r="G23" s="27">
        <v>0</v>
      </c>
      <c r="H23" s="27">
        <v>0</v>
      </c>
      <c r="I23" s="27">
        <v>0</v>
      </c>
      <c r="J23" s="27">
        <f t="shared" si="0"/>
        <v>948500</v>
      </c>
    </row>
    <row r="24" spans="1:10" x14ac:dyDescent="0.25">
      <c r="A24" s="1">
        <v>20</v>
      </c>
      <c r="B24" s="76" t="s">
        <v>120</v>
      </c>
      <c r="C24" s="27">
        <v>80483</v>
      </c>
      <c r="D24" s="27">
        <v>0</v>
      </c>
      <c r="E24" s="27">
        <v>0</v>
      </c>
      <c r="F24" s="27">
        <v>0</v>
      </c>
      <c r="G24" s="27">
        <v>0</v>
      </c>
      <c r="H24" s="27">
        <v>0</v>
      </c>
      <c r="I24" s="27">
        <v>0</v>
      </c>
      <c r="J24" s="27">
        <f t="shared" si="0"/>
        <v>80483</v>
      </c>
    </row>
    <row r="25" spans="1:10" x14ac:dyDescent="0.25">
      <c r="A25" s="1">
        <v>21</v>
      </c>
      <c r="B25" s="1" t="s">
        <v>128</v>
      </c>
      <c r="C25" s="27">
        <v>577140</v>
      </c>
      <c r="D25" s="27">
        <v>5375</v>
      </c>
      <c r="E25" s="27">
        <v>7505</v>
      </c>
      <c r="F25" s="27">
        <v>2170</v>
      </c>
      <c r="G25" s="27">
        <v>10660</v>
      </c>
      <c r="H25" s="27">
        <v>2490</v>
      </c>
      <c r="I25" s="27">
        <v>8945</v>
      </c>
      <c r="J25" s="27">
        <f t="shared" si="0"/>
        <v>614285</v>
      </c>
    </row>
    <row r="26" spans="1:10" x14ac:dyDescent="0.25">
      <c r="A26" s="1">
        <v>22</v>
      </c>
      <c r="B26" s="1" t="s">
        <v>127</v>
      </c>
      <c r="C26" s="27">
        <v>46500</v>
      </c>
      <c r="D26" s="27">
        <v>0</v>
      </c>
      <c r="E26" s="27">
        <v>1000</v>
      </c>
      <c r="F26" s="27">
        <v>0</v>
      </c>
      <c r="G26" s="27">
        <v>0</v>
      </c>
      <c r="H26" s="27">
        <v>0</v>
      </c>
      <c r="I26" s="27">
        <v>0</v>
      </c>
      <c r="J26" s="27">
        <f t="shared" si="0"/>
        <v>47500</v>
      </c>
    </row>
    <row r="27" spans="1:10" x14ac:dyDescent="0.25">
      <c r="A27" s="1">
        <v>23</v>
      </c>
      <c r="B27" s="1" t="s">
        <v>129</v>
      </c>
      <c r="C27" s="27">
        <v>3898910</v>
      </c>
      <c r="D27" s="27">
        <v>48500</v>
      </c>
      <c r="E27" s="27">
        <v>0</v>
      </c>
      <c r="F27" s="27">
        <v>0</v>
      </c>
      <c r="G27" s="27">
        <v>49500</v>
      </c>
      <c r="H27" s="27">
        <v>0</v>
      </c>
      <c r="I27" s="27">
        <v>0</v>
      </c>
      <c r="J27" s="27">
        <f t="shared" si="0"/>
        <v>3996910</v>
      </c>
    </row>
    <row r="28" spans="1:10" x14ac:dyDescent="0.25">
      <c r="A28" s="1">
        <v>24</v>
      </c>
      <c r="B28" s="1" t="s">
        <v>157</v>
      </c>
      <c r="C28" s="27">
        <v>41976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f t="shared" si="0"/>
        <v>41976</v>
      </c>
    </row>
    <row r="29" spans="1:10" x14ac:dyDescent="0.25">
      <c r="A29" s="1">
        <v>25</v>
      </c>
      <c r="B29" s="1" t="s">
        <v>158</v>
      </c>
      <c r="C29" s="27">
        <v>3880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f t="shared" si="0"/>
        <v>3880</v>
      </c>
    </row>
    <row r="30" spans="1:10" x14ac:dyDescent="0.25">
      <c r="A30" s="66">
        <v>26</v>
      </c>
      <c r="B30" s="66" t="s">
        <v>209</v>
      </c>
      <c r="C30" s="27">
        <v>62573</v>
      </c>
      <c r="D30" s="27">
        <v>0</v>
      </c>
      <c r="E30" s="27">
        <v>0</v>
      </c>
      <c r="F30" s="27">
        <v>0</v>
      </c>
      <c r="G30" s="91">
        <v>0</v>
      </c>
      <c r="H30" s="91">
        <v>0</v>
      </c>
      <c r="I30" s="91">
        <v>0</v>
      </c>
      <c r="J30" s="91">
        <f t="shared" si="0"/>
        <v>62573</v>
      </c>
    </row>
    <row r="31" spans="1:10" x14ac:dyDescent="0.25">
      <c r="A31" s="66">
        <v>27</v>
      </c>
      <c r="B31" s="66" t="s">
        <v>210</v>
      </c>
      <c r="C31" s="27">
        <v>47610</v>
      </c>
      <c r="D31" s="27">
        <v>0</v>
      </c>
      <c r="E31" s="27">
        <v>0</v>
      </c>
      <c r="F31" s="27">
        <v>0</v>
      </c>
      <c r="G31" s="91">
        <v>0</v>
      </c>
      <c r="H31" s="91">
        <v>0</v>
      </c>
      <c r="I31" s="91">
        <v>0</v>
      </c>
      <c r="J31" s="91">
        <f t="shared" si="0"/>
        <v>47610</v>
      </c>
    </row>
    <row r="32" spans="1:10" x14ac:dyDescent="0.25">
      <c r="A32" s="3">
        <v>28</v>
      </c>
      <c r="B32" s="3" t="s">
        <v>130</v>
      </c>
      <c r="C32" s="28">
        <v>1812545</v>
      </c>
      <c r="D32" s="28">
        <v>0</v>
      </c>
      <c r="E32" s="28">
        <v>0</v>
      </c>
      <c r="F32" s="28">
        <v>0</v>
      </c>
      <c r="G32" s="28">
        <v>0</v>
      </c>
      <c r="H32" s="28">
        <v>0</v>
      </c>
      <c r="I32" s="28"/>
      <c r="J32" s="27">
        <f t="shared" si="0"/>
        <v>1812545</v>
      </c>
    </row>
    <row r="33" spans="1:10" x14ac:dyDescent="0.25">
      <c r="A33" s="3" t="s">
        <v>454</v>
      </c>
      <c r="B33" s="3" t="s">
        <v>306</v>
      </c>
      <c r="C33" s="15">
        <v>5075560</v>
      </c>
      <c r="D33" s="15">
        <v>11900</v>
      </c>
      <c r="E33" s="15">
        <v>14560</v>
      </c>
      <c r="F33" s="15">
        <v>0</v>
      </c>
      <c r="G33" s="15">
        <v>35500</v>
      </c>
      <c r="H33" s="15">
        <v>0</v>
      </c>
      <c r="I33" s="15">
        <v>0</v>
      </c>
      <c r="J33" s="14">
        <f t="shared" si="0"/>
        <v>5137520</v>
      </c>
    </row>
    <row r="34" spans="1:10" x14ac:dyDescent="0.25">
      <c r="A34" s="3">
        <v>29</v>
      </c>
      <c r="B34" s="3" t="s">
        <v>452</v>
      </c>
      <c r="C34" s="15">
        <v>0</v>
      </c>
      <c r="D34" s="15">
        <v>0</v>
      </c>
      <c r="E34" s="15">
        <v>18855</v>
      </c>
      <c r="F34" s="15">
        <v>5802</v>
      </c>
      <c r="G34" s="15">
        <v>7502</v>
      </c>
      <c r="H34" s="15">
        <v>0</v>
      </c>
      <c r="I34" s="15">
        <v>3812</v>
      </c>
      <c r="J34" s="14">
        <f t="shared" si="0"/>
        <v>35971</v>
      </c>
    </row>
    <row r="35" spans="1:10" x14ac:dyDescent="0.25">
      <c r="A35" s="3" t="s">
        <v>455</v>
      </c>
      <c r="B35" s="3" t="s">
        <v>453</v>
      </c>
      <c r="C35" s="15">
        <v>0</v>
      </c>
      <c r="D35" s="15">
        <v>0</v>
      </c>
      <c r="E35" s="15">
        <v>72050</v>
      </c>
      <c r="F35" s="15">
        <v>183700</v>
      </c>
      <c r="G35" s="15">
        <v>215230</v>
      </c>
      <c r="H35" s="15">
        <v>120655</v>
      </c>
      <c r="I35" s="15">
        <v>165600</v>
      </c>
      <c r="J35" s="14">
        <f t="shared" si="0"/>
        <v>757235</v>
      </c>
    </row>
    <row r="36" spans="1:10" x14ac:dyDescent="0.25">
      <c r="A36" s="1">
        <v>30</v>
      </c>
      <c r="B36" s="1" t="s">
        <v>449</v>
      </c>
      <c r="C36" s="14">
        <v>6537089</v>
      </c>
      <c r="D36" s="14">
        <v>93450</v>
      </c>
      <c r="E36" s="14">
        <v>94500</v>
      </c>
      <c r="F36" s="14">
        <v>95000</v>
      </c>
      <c r="G36" s="14">
        <v>96100</v>
      </c>
      <c r="H36" s="14">
        <v>150500</v>
      </c>
      <c r="I36" s="14">
        <v>86500</v>
      </c>
      <c r="J36" s="14">
        <f t="shared" si="0"/>
        <v>7153139</v>
      </c>
    </row>
    <row r="37" spans="1:10" x14ac:dyDescent="0.25">
      <c r="A37" s="1">
        <v>31</v>
      </c>
      <c r="B37" s="1" t="s">
        <v>282</v>
      </c>
      <c r="C37" s="14">
        <v>31500</v>
      </c>
      <c r="D37" s="14">
        <v>0</v>
      </c>
      <c r="E37" s="14">
        <v>0</v>
      </c>
      <c r="F37" s="1">
        <v>0</v>
      </c>
      <c r="G37" s="14">
        <v>3500</v>
      </c>
      <c r="H37" s="14">
        <v>0</v>
      </c>
      <c r="I37" s="14">
        <v>0</v>
      </c>
      <c r="J37" s="14">
        <f t="shared" si="0"/>
        <v>35000</v>
      </c>
    </row>
    <row r="38" spans="1:10" x14ac:dyDescent="0.25">
      <c r="A38" s="1"/>
      <c r="B38" s="3" t="s">
        <v>93</v>
      </c>
      <c r="C38" s="15">
        <f t="shared" ref="C38:J38" si="1">SUM(C5:C37)</f>
        <v>50843046</v>
      </c>
      <c r="D38" s="15">
        <f t="shared" si="1"/>
        <v>264725</v>
      </c>
      <c r="E38" s="15">
        <f t="shared" si="1"/>
        <v>263845</v>
      </c>
      <c r="F38" s="15">
        <f t="shared" si="1"/>
        <v>452672</v>
      </c>
      <c r="G38" s="15">
        <f t="shared" si="1"/>
        <v>545802</v>
      </c>
      <c r="H38" s="15">
        <f>SUM(H5:H37)</f>
        <v>342645</v>
      </c>
      <c r="I38" s="15">
        <f t="shared" si="1"/>
        <v>308117</v>
      </c>
      <c r="J38" s="15">
        <f t="shared" si="1"/>
        <v>53020852</v>
      </c>
    </row>
    <row r="42" spans="1:10" x14ac:dyDescent="0.25">
      <c r="A42" s="1"/>
      <c r="B42" s="3" t="s">
        <v>337</v>
      </c>
      <c r="C42" s="59" t="s">
        <v>435</v>
      </c>
      <c r="D42" s="13">
        <v>44197</v>
      </c>
      <c r="E42" s="13">
        <v>44228</v>
      </c>
      <c r="F42" s="13">
        <v>44256</v>
      </c>
      <c r="G42" s="13">
        <v>44287</v>
      </c>
      <c r="H42" s="13">
        <v>44317</v>
      </c>
      <c r="I42" s="13">
        <v>44348</v>
      </c>
      <c r="J42" s="1" t="s">
        <v>81</v>
      </c>
    </row>
    <row r="43" spans="1:10" x14ac:dyDescent="0.25">
      <c r="A43" s="1">
        <v>32</v>
      </c>
      <c r="B43" s="1" t="s">
        <v>92</v>
      </c>
      <c r="C43" s="14">
        <v>248482</v>
      </c>
      <c r="D43" s="14">
        <v>0</v>
      </c>
      <c r="E43" s="14">
        <v>0</v>
      </c>
      <c r="F43" s="14">
        <v>0</v>
      </c>
      <c r="G43" s="14">
        <v>0</v>
      </c>
      <c r="H43" s="27">
        <v>0</v>
      </c>
      <c r="I43" s="27">
        <v>0</v>
      </c>
      <c r="J43" s="14">
        <f t="shared" ref="J43:J64" si="2">SUM(C43:I43)</f>
        <v>248482</v>
      </c>
    </row>
    <row r="44" spans="1:10" x14ac:dyDescent="0.25">
      <c r="A44" s="1">
        <v>33</v>
      </c>
      <c r="B44" s="1" t="s">
        <v>97</v>
      </c>
      <c r="C44" s="14">
        <v>190000</v>
      </c>
      <c r="D44" s="14">
        <v>0</v>
      </c>
      <c r="E44" s="14">
        <v>0</v>
      </c>
      <c r="F44" s="14">
        <v>0</v>
      </c>
      <c r="G44" s="14">
        <v>0</v>
      </c>
      <c r="H44" s="27">
        <v>0</v>
      </c>
      <c r="I44" s="27">
        <v>0</v>
      </c>
      <c r="J44" s="14">
        <f t="shared" si="2"/>
        <v>190000</v>
      </c>
    </row>
    <row r="45" spans="1:10" x14ac:dyDescent="0.25">
      <c r="A45" s="1">
        <v>34</v>
      </c>
      <c r="B45" s="1" t="s">
        <v>98</v>
      </c>
      <c r="C45" s="14">
        <v>125036</v>
      </c>
      <c r="D45" s="14">
        <v>934</v>
      </c>
      <c r="E45" s="14">
        <v>1025</v>
      </c>
      <c r="F45" s="14">
        <v>1152</v>
      </c>
      <c r="G45" s="14">
        <v>1031</v>
      </c>
      <c r="H45" s="27">
        <v>936</v>
      </c>
      <c r="I45" s="27">
        <f>5000+1306</f>
        <v>6306</v>
      </c>
      <c r="J45" s="14">
        <f t="shared" si="2"/>
        <v>136420</v>
      </c>
    </row>
    <row r="46" spans="1:10" x14ac:dyDescent="0.25">
      <c r="A46" s="1">
        <v>35</v>
      </c>
      <c r="B46" s="1" t="s">
        <v>46</v>
      </c>
      <c r="C46" s="14">
        <v>82596</v>
      </c>
      <c r="D46" s="14">
        <v>460</v>
      </c>
      <c r="E46" s="14">
        <v>545</v>
      </c>
      <c r="F46" s="14">
        <v>180</v>
      </c>
      <c r="G46" s="14">
        <v>260</v>
      </c>
      <c r="H46" s="27">
        <v>360</v>
      </c>
      <c r="I46" s="27">
        <v>175</v>
      </c>
      <c r="J46" s="14">
        <f t="shared" si="2"/>
        <v>84576</v>
      </c>
    </row>
    <row r="47" spans="1:10" x14ac:dyDescent="0.25">
      <c r="A47" s="1">
        <v>36</v>
      </c>
      <c r="B47" s="1" t="s">
        <v>14</v>
      </c>
      <c r="C47" s="14">
        <v>133791</v>
      </c>
      <c r="D47" s="14">
        <v>570</v>
      </c>
      <c r="E47" s="14">
        <v>1955</v>
      </c>
      <c r="F47" s="14">
        <v>740</v>
      </c>
      <c r="G47" s="14">
        <v>480</v>
      </c>
      <c r="H47" s="27">
        <v>235</v>
      </c>
      <c r="I47" s="27">
        <v>700</v>
      </c>
      <c r="J47" s="14">
        <f t="shared" si="2"/>
        <v>138471</v>
      </c>
    </row>
    <row r="48" spans="1:10" x14ac:dyDescent="0.25">
      <c r="A48" s="3">
        <v>37</v>
      </c>
      <c r="B48" s="3" t="s">
        <v>376</v>
      </c>
      <c r="C48" s="14">
        <v>926673</v>
      </c>
      <c r="D48" s="14">
        <v>10105</v>
      </c>
      <c r="E48" s="14">
        <v>1535</v>
      </c>
      <c r="F48" s="14">
        <v>0</v>
      </c>
      <c r="G48" s="14">
        <v>0</v>
      </c>
      <c r="H48" s="27">
        <v>33658</v>
      </c>
      <c r="I48" s="27">
        <v>1220</v>
      </c>
      <c r="J48" s="14">
        <f t="shared" si="2"/>
        <v>973191</v>
      </c>
    </row>
    <row r="49" spans="1:10" x14ac:dyDescent="0.25">
      <c r="A49" s="3"/>
      <c r="B49" s="3" t="s">
        <v>348</v>
      </c>
      <c r="C49" s="14">
        <v>99500</v>
      </c>
      <c r="D49" s="14">
        <v>2000</v>
      </c>
      <c r="E49" s="14">
        <v>3000</v>
      </c>
      <c r="F49" s="14">
        <v>0</v>
      </c>
      <c r="G49" s="14">
        <v>0</v>
      </c>
      <c r="H49" s="27">
        <v>15000</v>
      </c>
      <c r="I49" s="27">
        <v>0</v>
      </c>
      <c r="J49" s="14">
        <f t="shared" si="2"/>
        <v>119500</v>
      </c>
    </row>
    <row r="50" spans="1:10" x14ac:dyDescent="0.25">
      <c r="A50" s="1">
        <v>38</v>
      </c>
      <c r="B50" s="1" t="s">
        <v>333</v>
      </c>
      <c r="C50" s="14">
        <v>576847</v>
      </c>
      <c r="D50" s="14">
        <v>2650</v>
      </c>
      <c r="E50" s="14">
        <v>6329</v>
      </c>
      <c r="F50" s="14">
        <v>0</v>
      </c>
      <c r="G50" s="14">
        <v>57885</v>
      </c>
      <c r="H50" s="27">
        <v>1875</v>
      </c>
      <c r="I50" s="27">
        <f>86000+455</f>
        <v>86455</v>
      </c>
      <c r="J50" s="14">
        <f t="shared" si="2"/>
        <v>732041</v>
      </c>
    </row>
    <row r="51" spans="1:10" x14ac:dyDescent="0.25">
      <c r="A51" s="1">
        <v>39</v>
      </c>
      <c r="B51" s="1" t="s">
        <v>352</v>
      </c>
      <c r="C51" s="14">
        <v>802690</v>
      </c>
      <c r="D51" s="14">
        <v>53860</v>
      </c>
      <c r="E51" s="14">
        <f>79500+720+100000</f>
        <v>180220</v>
      </c>
      <c r="F51" s="14">
        <v>0</v>
      </c>
      <c r="G51" s="14">
        <v>0</v>
      </c>
      <c r="H51" s="27">
        <f>19000+630+96500</f>
        <v>116130</v>
      </c>
      <c r="I51" s="27">
        <v>3200</v>
      </c>
      <c r="J51" s="14">
        <f t="shared" si="2"/>
        <v>1156100</v>
      </c>
    </row>
    <row r="52" spans="1:10" x14ac:dyDescent="0.25">
      <c r="A52" s="1"/>
      <c r="B52" s="3" t="s">
        <v>353</v>
      </c>
      <c r="C52" s="14">
        <v>134090</v>
      </c>
      <c r="D52" s="14">
        <v>0</v>
      </c>
      <c r="E52" s="14">
        <v>0</v>
      </c>
      <c r="F52" s="14">
        <v>0</v>
      </c>
      <c r="G52" s="14">
        <v>0</v>
      </c>
      <c r="H52" s="27">
        <v>0</v>
      </c>
      <c r="I52" s="27">
        <v>0</v>
      </c>
      <c r="J52" s="14">
        <f>SUM(C52:I52)</f>
        <v>134090</v>
      </c>
    </row>
    <row r="53" spans="1:10" x14ac:dyDescent="0.25">
      <c r="A53" s="1"/>
      <c r="B53" s="3" t="s">
        <v>419</v>
      </c>
      <c r="C53" s="1">
        <v>97200</v>
      </c>
      <c r="D53" s="1">
        <v>5000</v>
      </c>
      <c r="E53" s="14">
        <v>25500</v>
      </c>
      <c r="F53" s="1">
        <v>0</v>
      </c>
      <c r="G53" s="1">
        <v>0</v>
      </c>
      <c r="H53" s="1">
        <v>27100</v>
      </c>
      <c r="I53" s="1">
        <v>26100</v>
      </c>
      <c r="J53" s="1">
        <f>SUM(C53:I53)</f>
        <v>180900</v>
      </c>
    </row>
    <row r="54" spans="1:10" x14ac:dyDescent="0.25">
      <c r="A54" s="1">
        <v>40</v>
      </c>
      <c r="B54" s="1" t="s">
        <v>351</v>
      </c>
      <c r="C54" s="14">
        <v>593652</v>
      </c>
      <c r="D54" s="14">
        <v>0</v>
      </c>
      <c r="E54" s="14">
        <v>32600</v>
      </c>
      <c r="F54" s="14">
        <v>0</v>
      </c>
      <c r="G54" s="14">
        <v>28425</v>
      </c>
      <c r="H54" s="27">
        <v>0</v>
      </c>
      <c r="I54" s="27">
        <v>25260</v>
      </c>
      <c r="J54" s="14">
        <f t="shared" si="2"/>
        <v>679937</v>
      </c>
    </row>
    <row r="55" spans="1:10" x14ac:dyDescent="0.25">
      <c r="A55" s="1"/>
      <c r="B55" s="3" t="s">
        <v>350</v>
      </c>
      <c r="C55" s="14">
        <v>235500</v>
      </c>
      <c r="D55" s="14">
        <v>3000</v>
      </c>
      <c r="E55" s="14">
        <v>0</v>
      </c>
      <c r="F55" s="14">
        <v>11000</v>
      </c>
      <c r="G55" s="14">
        <v>2000</v>
      </c>
      <c r="H55" s="27">
        <v>15000</v>
      </c>
      <c r="I55" s="27">
        <v>0</v>
      </c>
      <c r="J55" s="14">
        <f t="shared" si="2"/>
        <v>266500</v>
      </c>
    </row>
    <row r="56" spans="1:10" x14ac:dyDescent="0.25">
      <c r="A56" s="1">
        <v>41</v>
      </c>
      <c r="B56" s="1" t="s">
        <v>347</v>
      </c>
      <c r="C56" s="14">
        <v>602180</v>
      </c>
      <c r="D56" s="14">
        <v>74138</v>
      </c>
      <c r="E56" s="14">
        <f>820+1450</f>
        <v>2270</v>
      </c>
      <c r="F56" s="14">
        <v>0</v>
      </c>
      <c r="G56" s="14">
        <v>0</v>
      </c>
      <c r="H56" s="27">
        <v>34834</v>
      </c>
      <c r="I56" s="27">
        <v>19000</v>
      </c>
      <c r="J56" s="14">
        <f t="shared" si="2"/>
        <v>732422</v>
      </c>
    </row>
    <row r="57" spans="1:10" x14ac:dyDescent="0.25">
      <c r="A57" s="1" t="s">
        <v>456</v>
      </c>
      <c r="B57" s="3" t="s">
        <v>391</v>
      </c>
      <c r="C57" s="14">
        <v>171000</v>
      </c>
      <c r="D57" s="14">
        <v>6000</v>
      </c>
      <c r="E57" s="14">
        <v>0</v>
      </c>
      <c r="F57" s="14">
        <v>0</v>
      </c>
      <c r="G57" s="14">
        <v>0</v>
      </c>
      <c r="H57" s="27">
        <v>0</v>
      </c>
      <c r="I57" s="27">
        <v>0</v>
      </c>
      <c r="J57" s="14">
        <f t="shared" si="2"/>
        <v>177000</v>
      </c>
    </row>
    <row r="58" spans="1:10" x14ac:dyDescent="0.25">
      <c r="A58" s="1">
        <v>42</v>
      </c>
      <c r="B58" s="1" t="s">
        <v>349</v>
      </c>
      <c r="C58" s="14">
        <v>50692</v>
      </c>
      <c r="D58" s="14">
        <v>0</v>
      </c>
      <c r="E58" s="14">
        <v>0</v>
      </c>
      <c r="F58" s="14">
        <v>0</v>
      </c>
      <c r="G58" s="14">
        <v>0</v>
      </c>
      <c r="H58" s="27">
        <v>7190</v>
      </c>
      <c r="I58" s="27">
        <v>0</v>
      </c>
      <c r="J58" s="14">
        <f t="shared" si="2"/>
        <v>57882</v>
      </c>
    </row>
    <row r="59" spans="1:10" x14ac:dyDescent="0.25">
      <c r="A59" s="1">
        <v>43</v>
      </c>
      <c r="B59" s="1" t="s">
        <v>354</v>
      </c>
      <c r="C59" s="14">
        <v>147205</v>
      </c>
      <c r="D59" s="14">
        <v>26140</v>
      </c>
      <c r="E59" s="14">
        <v>0</v>
      </c>
      <c r="F59" s="14">
        <v>0</v>
      </c>
      <c r="G59" s="14">
        <v>0</v>
      </c>
      <c r="H59" s="27">
        <v>27760</v>
      </c>
      <c r="I59" s="27">
        <v>0</v>
      </c>
      <c r="J59" s="14">
        <f t="shared" si="2"/>
        <v>201105</v>
      </c>
    </row>
    <row r="60" spans="1:10" x14ac:dyDescent="0.25">
      <c r="A60" s="1">
        <v>44</v>
      </c>
      <c r="B60" s="3" t="s">
        <v>382</v>
      </c>
      <c r="C60" s="14">
        <v>116000</v>
      </c>
      <c r="D60" s="14">
        <v>21000</v>
      </c>
      <c r="E60" s="14">
        <v>5000</v>
      </c>
      <c r="F60" s="14">
        <v>0</v>
      </c>
      <c r="G60" s="14">
        <v>0</v>
      </c>
      <c r="H60" s="27">
        <v>25000</v>
      </c>
      <c r="I60" s="27">
        <v>0</v>
      </c>
      <c r="J60" s="14">
        <f t="shared" si="2"/>
        <v>167000</v>
      </c>
    </row>
    <row r="61" spans="1:10" x14ac:dyDescent="0.25">
      <c r="A61" s="1">
        <v>45</v>
      </c>
      <c r="B61" s="3" t="s">
        <v>355</v>
      </c>
      <c r="C61" s="14">
        <v>379000</v>
      </c>
      <c r="D61" s="14">
        <v>0</v>
      </c>
      <c r="E61" s="14">
        <v>45000</v>
      </c>
      <c r="F61" s="14">
        <v>20000</v>
      </c>
      <c r="G61" s="14">
        <v>0</v>
      </c>
      <c r="H61" s="27">
        <v>20000</v>
      </c>
      <c r="I61" s="27">
        <v>6000</v>
      </c>
      <c r="J61" s="14">
        <f t="shared" si="2"/>
        <v>470000</v>
      </c>
    </row>
    <row r="62" spans="1:10" x14ac:dyDescent="0.25">
      <c r="A62" s="1">
        <v>46</v>
      </c>
      <c r="B62" s="3" t="s">
        <v>428</v>
      </c>
      <c r="C62" s="14">
        <v>350000</v>
      </c>
      <c r="D62" s="14">
        <v>0</v>
      </c>
      <c r="E62" s="14">
        <v>0</v>
      </c>
      <c r="F62" s="14">
        <v>0</v>
      </c>
      <c r="G62" s="14">
        <v>0</v>
      </c>
      <c r="H62" s="27">
        <v>0</v>
      </c>
      <c r="I62" s="27">
        <v>0</v>
      </c>
      <c r="J62" s="14">
        <f t="shared" si="2"/>
        <v>350000</v>
      </c>
    </row>
    <row r="63" spans="1:10" x14ac:dyDescent="0.25">
      <c r="A63" s="1">
        <v>47</v>
      </c>
      <c r="B63" s="38" t="s">
        <v>275</v>
      </c>
      <c r="C63" s="77">
        <v>3983400</v>
      </c>
      <c r="D63" s="77">
        <v>0</v>
      </c>
      <c r="E63" s="77">
        <v>0</v>
      </c>
      <c r="F63" s="77">
        <v>0</v>
      </c>
      <c r="G63" s="77">
        <v>0</v>
      </c>
      <c r="H63" s="79">
        <v>0</v>
      </c>
      <c r="I63" s="79">
        <v>0</v>
      </c>
      <c r="J63" s="77">
        <f t="shared" si="2"/>
        <v>3983400</v>
      </c>
    </row>
    <row r="64" spans="1:10" x14ac:dyDescent="0.25">
      <c r="A64" s="1">
        <v>48</v>
      </c>
      <c r="B64" s="1" t="s">
        <v>314</v>
      </c>
      <c r="C64" s="77">
        <v>835000</v>
      </c>
      <c r="D64" s="77">
        <v>0</v>
      </c>
      <c r="E64" s="77">
        <v>0</v>
      </c>
      <c r="F64" s="77">
        <v>0</v>
      </c>
      <c r="G64" s="77">
        <v>0</v>
      </c>
      <c r="H64" s="79">
        <v>0</v>
      </c>
      <c r="I64" s="79">
        <v>0</v>
      </c>
      <c r="J64" s="77">
        <f t="shared" si="2"/>
        <v>835000</v>
      </c>
    </row>
    <row r="65" spans="1:10" x14ac:dyDescent="0.25">
      <c r="A65" s="1"/>
      <c r="B65" s="3" t="s">
        <v>93</v>
      </c>
      <c r="C65" s="74">
        <f>SUM(C43:C62)</f>
        <v>6062134</v>
      </c>
      <c r="D65" s="74">
        <f t="shared" ref="D65:I65" si="3">SUM(D43:D61)</f>
        <v>205857</v>
      </c>
      <c r="E65" s="74">
        <f t="shared" si="3"/>
        <v>304979</v>
      </c>
      <c r="F65" s="74">
        <f t="shared" si="3"/>
        <v>33072</v>
      </c>
      <c r="G65" s="74">
        <f t="shared" si="3"/>
        <v>90081</v>
      </c>
      <c r="H65" s="74">
        <f t="shared" si="3"/>
        <v>325078</v>
      </c>
      <c r="I65" s="74">
        <f t="shared" si="3"/>
        <v>174416</v>
      </c>
      <c r="J65" s="74">
        <f>SUM(J43:J62)</f>
        <v>7195617</v>
      </c>
    </row>
    <row r="66" spans="1:10" ht="15.75" x14ac:dyDescent="0.25">
      <c r="A66" s="1"/>
      <c r="B66" s="8" t="s">
        <v>94</v>
      </c>
      <c r="C66" s="16">
        <f t="shared" ref="C66:I66" si="4">C38+C65</f>
        <v>56905180</v>
      </c>
      <c r="D66" s="16">
        <f t="shared" si="4"/>
        <v>470582</v>
      </c>
      <c r="E66" s="16">
        <f t="shared" si="4"/>
        <v>568824</v>
      </c>
      <c r="F66" s="16">
        <f t="shared" si="4"/>
        <v>485744</v>
      </c>
      <c r="G66" s="16">
        <f t="shared" si="4"/>
        <v>635883</v>
      </c>
      <c r="H66" s="16">
        <f t="shared" si="4"/>
        <v>667723</v>
      </c>
      <c r="I66" s="16">
        <f t="shared" si="4"/>
        <v>482533</v>
      </c>
      <c r="J66" s="16">
        <f>SUM(J38+J65)</f>
        <v>60216469</v>
      </c>
    </row>
    <row r="67" spans="1:10" x14ac:dyDescent="0.25">
      <c r="J67" s="12"/>
    </row>
    <row r="68" spans="1:10" x14ac:dyDescent="0.25">
      <c r="J68" s="26"/>
    </row>
    <row r="73" spans="1:10" ht="18.75" x14ac:dyDescent="0.3">
      <c r="B73" s="5"/>
    </row>
    <row r="74" spans="1:10" ht="18.75" x14ac:dyDescent="0.3">
      <c r="B74" s="5"/>
    </row>
    <row r="75" spans="1:10" ht="18.75" x14ac:dyDescent="0.3">
      <c r="B75" s="5"/>
    </row>
    <row r="76" spans="1:10" x14ac:dyDescent="0.25">
      <c r="A76" s="61"/>
      <c r="B76" s="61"/>
      <c r="C76" s="80"/>
      <c r="D76" s="60"/>
      <c r="E76" s="60"/>
      <c r="F76" s="60"/>
      <c r="G76" s="61"/>
    </row>
    <row r="77" spans="1:10" ht="18.75" x14ac:dyDescent="0.3">
      <c r="B77" s="5" t="s">
        <v>80</v>
      </c>
    </row>
    <row r="78" spans="1:10" ht="18.75" x14ac:dyDescent="0.3">
      <c r="B78" s="5" t="s">
        <v>64</v>
      </c>
    </row>
    <row r="79" spans="1:10" ht="18.75" x14ac:dyDescent="0.3">
      <c r="B79" s="5" t="s">
        <v>271</v>
      </c>
    </row>
    <row r="80" spans="1:10" ht="18.75" x14ac:dyDescent="0.3">
      <c r="B80" s="5" t="s">
        <v>457</v>
      </c>
    </row>
    <row r="81" spans="1:10" ht="18.75" x14ac:dyDescent="0.3">
      <c r="B81" s="5"/>
    </row>
    <row r="82" spans="1:10" x14ac:dyDescent="0.25">
      <c r="A82" s="3" t="s">
        <v>163</v>
      </c>
      <c r="B82" s="3" t="s">
        <v>164</v>
      </c>
      <c r="C82" s="59" t="s">
        <v>435</v>
      </c>
      <c r="D82" s="13">
        <v>44197</v>
      </c>
      <c r="E82" s="13">
        <v>44228</v>
      </c>
      <c r="F82" s="13">
        <v>44256</v>
      </c>
      <c r="G82" s="13">
        <v>44287</v>
      </c>
      <c r="H82" s="13">
        <v>44317</v>
      </c>
      <c r="I82" s="13">
        <v>44348</v>
      </c>
      <c r="J82" s="1" t="s">
        <v>81</v>
      </c>
    </row>
    <row r="83" spans="1:10" x14ac:dyDescent="0.25">
      <c r="A83" s="38">
        <v>1</v>
      </c>
      <c r="B83" s="1" t="s">
        <v>199</v>
      </c>
      <c r="C83" s="14">
        <v>491500</v>
      </c>
      <c r="D83" s="1"/>
      <c r="E83" s="1"/>
      <c r="F83" s="1"/>
      <c r="G83" s="70"/>
      <c r="H83" s="1"/>
      <c r="I83" s="1"/>
      <c r="J83" s="70">
        <f>SUM(C83:I83)</f>
        <v>491500</v>
      </c>
    </row>
    <row r="84" spans="1:10" x14ac:dyDescent="0.25">
      <c r="A84" s="38"/>
      <c r="B84" s="1" t="s">
        <v>202</v>
      </c>
      <c r="C84" s="14">
        <v>105000</v>
      </c>
      <c r="D84" s="1"/>
      <c r="E84" s="1"/>
      <c r="F84" s="1"/>
      <c r="G84" s="70"/>
      <c r="H84" s="1"/>
      <c r="I84" s="1"/>
      <c r="J84" s="70">
        <f t="shared" ref="J84:J89" si="5">SUM(C84:I84)</f>
        <v>105000</v>
      </c>
    </row>
    <row r="85" spans="1:10" x14ac:dyDescent="0.25">
      <c r="A85" s="38">
        <v>2</v>
      </c>
      <c r="B85" s="1" t="s">
        <v>223</v>
      </c>
      <c r="C85" s="14">
        <v>1874900</v>
      </c>
      <c r="D85" s="1">
        <v>504000</v>
      </c>
      <c r="E85" s="1"/>
      <c r="F85" s="1"/>
      <c r="G85" s="70"/>
      <c r="H85" s="1"/>
      <c r="I85" s="1"/>
      <c r="J85" s="70">
        <f t="shared" si="5"/>
        <v>2378900</v>
      </c>
    </row>
    <row r="86" spans="1:10" x14ac:dyDescent="0.25">
      <c r="A86" s="38">
        <v>3</v>
      </c>
      <c r="B86" s="1" t="s">
        <v>222</v>
      </c>
      <c r="C86" s="14">
        <v>565000</v>
      </c>
      <c r="D86" s="1"/>
      <c r="E86" s="1"/>
      <c r="F86" s="1"/>
      <c r="G86" s="70"/>
      <c r="H86" s="1"/>
      <c r="I86" s="1"/>
      <c r="J86" s="70">
        <f t="shared" si="5"/>
        <v>565000</v>
      </c>
    </row>
    <row r="87" spans="1:10" x14ac:dyDescent="0.25">
      <c r="A87" s="38">
        <v>4</v>
      </c>
      <c r="B87" s="1" t="s">
        <v>231</v>
      </c>
      <c r="C87" s="14">
        <v>536000</v>
      </c>
      <c r="D87" s="1"/>
      <c r="E87" s="1"/>
      <c r="F87" s="1"/>
      <c r="G87" s="70"/>
      <c r="H87" s="1"/>
      <c r="I87" s="1"/>
      <c r="J87" s="70">
        <f t="shared" si="5"/>
        <v>536000</v>
      </c>
    </row>
    <row r="88" spans="1:10" x14ac:dyDescent="0.25">
      <c r="A88" s="38">
        <v>5</v>
      </c>
      <c r="B88" s="38" t="s">
        <v>241</v>
      </c>
      <c r="C88" s="27">
        <v>700000</v>
      </c>
      <c r="D88" s="1"/>
      <c r="E88" s="1"/>
      <c r="F88" s="1"/>
      <c r="G88" s="72"/>
      <c r="H88" s="1"/>
      <c r="I88" s="1"/>
      <c r="J88" s="70">
        <f t="shared" si="5"/>
        <v>700000</v>
      </c>
    </row>
    <row r="89" spans="1:10" x14ac:dyDescent="0.25">
      <c r="A89" s="38">
        <v>6</v>
      </c>
      <c r="B89" s="38" t="s">
        <v>309</v>
      </c>
      <c r="C89" s="27">
        <v>20000</v>
      </c>
      <c r="D89" s="1"/>
      <c r="E89" s="1"/>
      <c r="F89" s="1"/>
      <c r="G89" s="72"/>
      <c r="H89" s="1"/>
      <c r="I89" s="1"/>
      <c r="J89" s="70">
        <f t="shared" si="5"/>
        <v>20000</v>
      </c>
    </row>
    <row r="90" spans="1:10" x14ac:dyDescent="0.25">
      <c r="A90" s="1"/>
      <c r="B90" s="71" t="s">
        <v>138</v>
      </c>
      <c r="C90" s="15">
        <f>SUM(C83:C89)</f>
        <v>4292400</v>
      </c>
      <c r="D90" s="15">
        <f>SUM(D83:D88)</f>
        <v>504000</v>
      </c>
      <c r="E90" s="15">
        <f>SUM(E83:E89)</f>
        <v>0</v>
      </c>
      <c r="F90" s="15">
        <f>SUM(F83:F88)</f>
        <v>0</v>
      </c>
      <c r="G90" s="15">
        <f>SUM(G83:G88)</f>
        <v>0</v>
      </c>
      <c r="H90" s="1"/>
      <c r="I90" s="15">
        <f>SUM(I83:I89)</f>
        <v>0</v>
      </c>
      <c r="J90" s="15">
        <f>SUM(J83:J89)</f>
        <v>4796400</v>
      </c>
    </row>
    <row r="91" spans="1:10" x14ac:dyDescent="0.25">
      <c r="A91" s="22"/>
      <c r="B91" s="85"/>
      <c r="C91" s="86"/>
      <c r="D91" s="86"/>
      <c r="E91" s="86"/>
      <c r="F91" s="86"/>
      <c r="G91" s="86"/>
      <c r="H91" s="22"/>
      <c r="I91" s="22"/>
      <c r="J91" s="86"/>
    </row>
    <row r="92" spans="1:10" x14ac:dyDescent="0.25">
      <c r="A92" s="22"/>
      <c r="B92" s="85"/>
      <c r="C92" s="86"/>
      <c r="D92" s="86"/>
      <c r="E92" s="86"/>
      <c r="F92" s="86"/>
      <c r="G92" s="86"/>
      <c r="H92" s="22"/>
      <c r="I92" s="22"/>
      <c r="J92" s="86"/>
    </row>
    <row r="93" spans="1:10" ht="18.75" x14ac:dyDescent="0.3">
      <c r="B93" s="5" t="s">
        <v>80</v>
      </c>
    </row>
    <row r="94" spans="1:10" ht="18.75" x14ac:dyDescent="0.3">
      <c r="B94" s="5" t="s">
        <v>64</v>
      </c>
    </row>
    <row r="95" spans="1:10" ht="18.75" x14ac:dyDescent="0.3">
      <c r="B95" s="5" t="s">
        <v>272</v>
      </c>
    </row>
    <row r="96" spans="1:10" ht="18.75" x14ac:dyDescent="0.3">
      <c r="B96" s="5" t="s">
        <v>457</v>
      </c>
    </row>
    <row r="97" spans="1:10" ht="18.75" x14ac:dyDescent="0.3">
      <c r="B97" s="5"/>
    </row>
    <row r="98" spans="1:10" x14ac:dyDescent="0.25">
      <c r="A98" s="3" t="s">
        <v>163</v>
      </c>
      <c r="B98" s="3" t="s">
        <v>164</v>
      </c>
      <c r="C98" s="59" t="s">
        <v>435</v>
      </c>
      <c r="D98" s="13">
        <v>44197</v>
      </c>
      <c r="E98" s="13">
        <v>44228</v>
      </c>
      <c r="F98" s="13">
        <v>44256</v>
      </c>
      <c r="G98" s="13">
        <v>44287</v>
      </c>
      <c r="H98" s="13">
        <v>44317</v>
      </c>
      <c r="I98" s="13">
        <v>44348</v>
      </c>
      <c r="J98" s="1" t="s">
        <v>81</v>
      </c>
    </row>
    <row r="99" spans="1:10" x14ac:dyDescent="0.25">
      <c r="A99" s="38">
        <v>1</v>
      </c>
      <c r="B99" s="1" t="s">
        <v>199</v>
      </c>
      <c r="C99" s="14"/>
      <c r="D99" s="1"/>
      <c r="E99" s="1"/>
      <c r="F99" s="1"/>
      <c r="G99" s="70"/>
      <c r="H99" s="1"/>
      <c r="I99" s="1"/>
      <c r="J99" s="70">
        <f>SUM(C99:I99)</f>
        <v>0</v>
      </c>
    </row>
    <row r="100" spans="1:10" x14ac:dyDescent="0.25">
      <c r="A100" s="38"/>
      <c r="B100" s="1" t="s">
        <v>202</v>
      </c>
      <c r="C100" s="14">
        <v>0</v>
      </c>
      <c r="D100" s="1"/>
      <c r="E100" s="1"/>
      <c r="F100" s="1"/>
      <c r="G100" s="70"/>
      <c r="H100" s="1"/>
      <c r="I100" s="1"/>
      <c r="J100" s="70">
        <f t="shared" ref="J100:J105" si="6">SUM(C100:I100)</f>
        <v>0</v>
      </c>
    </row>
    <row r="101" spans="1:10" x14ac:dyDescent="0.25">
      <c r="A101" s="38">
        <v>2</v>
      </c>
      <c r="B101" s="1" t="s">
        <v>223</v>
      </c>
      <c r="C101" s="14">
        <v>2378900</v>
      </c>
      <c r="D101" s="1"/>
      <c r="E101" s="1"/>
      <c r="F101" s="1"/>
      <c r="G101" s="70"/>
      <c r="H101" s="1"/>
      <c r="I101" s="1"/>
      <c r="J101" s="70">
        <f t="shared" si="6"/>
        <v>2378900</v>
      </c>
    </row>
    <row r="102" spans="1:10" x14ac:dyDescent="0.25">
      <c r="A102" s="38">
        <v>3</v>
      </c>
      <c r="B102" s="1" t="s">
        <v>222</v>
      </c>
      <c r="C102" s="14">
        <v>565000</v>
      </c>
      <c r="D102" s="1"/>
      <c r="E102" s="1"/>
      <c r="F102" s="1"/>
      <c r="G102" s="70"/>
      <c r="H102" s="1"/>
      <c r="I102" s="1"/>
      <c r="J102" s="70">
        <f t="shared" si="6"/>
        <v>565000</v>
      </c>
    </row>
    <row r="103" spans="1:10" x14ac:dyDescent="0.25">
      <c r="A103" s="38">
        <v>4</v>
      </c>
      <c r="B103" s="1" t="s">
        <v>231</v>
      </c>
      <c r="C103" s="14">
        <v>536000</v>
      </c>
      <c r="D103" s="1"/>
      <c r="E103" s="1"/>
      <c r="F103" s="1"/>
      <c r="G103" s="70"/>
      <c r="H103" s="1"/>
      <c r="I103" s="1"/>
      <c r="J103" s="70">
        <f t="shared" si="6"/>
        <v>536000</v>
      </c>
    </row>
    <row r="104" spans="1:10" x14ac:dyDescent="0.25">
      <c r="A104" s="38">
        <v>5</v>
      </c>
      <c r="B104" s="38" t="s">
        <v>241</v>
      </c>
      <c r="C104" s="27">
        <v>700000</v>
      </c>
      <c r="D104" s="70"/>
      <c r="E104" s="1"/>
      <c r="F104" s="1"/>
      <c r="G104" s="72"/>
      <c r="H104" s="1"/>
      <c r="I104" s="1"/>
      <c r="J104" s="70">
        <f t="shared" si="6"/>
        <v>700000</v>
      </c>
    </row>
    <row r="105" spans="1:10" x14ac:dyDescent="0.25">
      <c r="A105" s="38">
        <v>6</v>
      </c>
      <c r="B105" s="38" t="s">
        <v>309</v>
      </c>
      <c r="C105" s="27">
        <v>20000</v>
      </c>
      <c r="D105" s="70"/>
      <c r="E105" s="1"/>
      <c r="F105" s="1"/>
      <c r="G105" s="72"/>
      <c r="H105" s="1"/>
      <c r="I105" s="1"/>
      <c r="J105" s="70">
        <f t="shared" si="6"/>
        <v>20000</v>
      </c>
    </row>
    <row r="106" spans="1:10" x14ac:dyDescent="0.25">
      <c r="A106" s="1"/>
      <c r="B106" s="71" t="s">
        <v>138</v>
      </c>
      <c r="C106" s="70">
        <f>SUM(C99:C105)</f>
        <v>4199900</v>
      </c>
      <c r="D106" s="15">
        <f>SUM(D99:D105)</f>
        <v>0</v>
      </c>
      <c r="E106" s="15">
        <f>SUM(E99:E104)</f>
        <v>0</v>
      </c>
      <c r="F106" s="15">
        <f>SUM(F99:F104)</f>
        <v>0</v>
      </c>
      <c r="G106" s="15">
        <f>SUM(G99:G104)</f>
        <v>0</v>
      </c>
      <c r="H106" s="15">
        <f>SUM(H99:H104)</f>
        <v>0</v>
      </c>
      <c r="I106" s="15">
        <f>SUM(I99:I104)</f>
        <v>0</v>
      </c>
      <c r="J106" s="70">
        <f>SUM(J99:J105)</f>
        <v>4199900</v>
      </c>
    </row>
    <row r="112" spans="1:10" ht="18.75" x14ac:dyDescent="0.3">
      <c r="B112" s="5" t="s">
        <v>80</v>
      </c>
    </row>
    <row r="113" spans="1:10" ht="18.75" x14ac:dyDescent="0.3">
      <c r="B113" s="5" t="s">
        <v>64</v>
      </c>
    </row>
    <row r="114" spans="1:10" ht="18.75" x14ac:dyDescent="0.3">
      <c r="B114" s="5" t="s">
        <v>279</v>
      </c>
    </row>
    <row r="115" spans="1:10" ht="18.75" x14ac:dyDescent="0.3">
      <c r="B115" s="5" t="s">
        <v>457</v>
      </c>
    </row>
    <row r="117" spans="1:10" x14ac:dyDescent="0.25">
      <c r="A117" s="3" t="s">
        <v>163</v>
      </c>
      <c r="B117" s="3" t="s">
        <v>164</v>
      </c>
      <c r="C117" s="59" t="s">
        <v>281</v>
      </c>
      <c r="D117" s="13" t="s">
        <v>280</v>
      </c>
      <c r="E117" s="13" t="s">
        <v>280</v>
      </c>
      <c r="F117" s="13" t="s">
        <v>280</v>
      </c>
      <c r="G117" s="13" t="s">
        <v>280</v>
      </c>
      <c r="H117" s="13" t="s">
        <v>280</v>
      </c>
      <c r="I117" s="13" t="s">
        <v>280</v>
      </c>
      <c r="J117" s="3" t="s">
        <v>166</v>
      </c>
    </row>
    <row r="118" spans="1:10" x14ac:dyDescent="0.25">
      <c r="A118" s="38">
        <v>1</v>
      </c>
      <c r="B118" s="1" t="s">
        <v>199</v>
      </c>
      <c r="C118" s="14">
        <v>491500</v>
      </c>
      <c r="D118" s="1"/>
      <c r="E118" s="1"/>
      <c r="F118" s="1"/>
      <c r="G118" s="70"/>
      <c r="H118" s="1"/>
      <c r="I118" s="1"/>
      <c r="J118" s="70">
        <f>C118-D118-E118-F118-G118-H118-I118</f>
        <v>491500</v>
      </c>
    </row>
    <row r="119" spans="1:10" x14ac:dyDescent="0.25">
      <c r="A119" s="38"/>
      <c r="B119" s="1" t="s">
        <v>202</v>
      </c>
      <c r="C119" s="14">
        <v>105000</v>
      </c>
      <c r="D119" s="1"/>
      <c r="E119" s="1"/>
      <c r="F119" s="1"/>
      <c r="G119" s="70"/>
      <c r="H119" s="1"/>
      <c r="I119" s="1"/>
      <c r="J119" s="70">
        <f t="shared" ref="J119:J124" si="7">C119-D119-E119-F119-G119-H119-I119</f>
        <v>105000</v>
      </c>
    </row>
    <row r="120" spans="1:10" x14ac:dyDescent="0.25">
      <c r="A120" s="38">
        <v>2</v>
      </c>
      <c r="B120" s="1" t="s">
        <v>223</v>
      </c>
      <c r="C120" s="14">
        <v>2378900</v>
      </c>
      <c r="D120" s="1">
        <v>2378900</v>
      </c>
      <c r="E120" s="1"/>
      <c r="F120" s="1"/>
      <c r="G120" s="70"/>
      <c r="H120" s="1"/>
      <c r="I120" s="1"/>
      <c r="J120" s="70">
        <f t="shared" si="7"/>
        <v>0</v>
      </c>
    </row>
    <row r="121" spans="1:10" x14ac:dyDescent="0.25">
      <c r="A121" s="38">
        <v>3</v>
      </c>
      <c r="B121" s="1" t="s">
        <v>222</v>
      </c>
      <c r="C121" s="14">
        <v>565000</v>
      </c>
      <c r="D121" s="1">
        <v>565000</v>
      </c>
      <c r="E121" s="1"/>
      <c r="F121" s="1"/>
      <c r="G121" s="70"/>
      <c r="H121" s="1"/>
      <c r="I121" s="1"/>
      <c r="J121" s="70">
        <f t="shared" si="7"/>
        <v>0</v>
      </c>
    </row>
    <row r="122" spans="1:10" x14ac:dyDescent="0.25">
      <c r="A122" s="38">
        <v>4</v>
      </c>
      <c r="B122" s="1" t="s">
        <v>231</v>
      </c>
      <c r="C122" s="14">
        <v>536000</v>
      </c>
      <c r="D122" s="1">
        <v>536000</v>
      </c>
      <c r="E122" s="1"/>
      <c r="F122" s="1"/>
      <c r="G122" s="70"/>
      <c r="H122" s="1"/>
      <c r="I122" s="1"/>
      <c r="J122" s="70">
        <f t="shared" si="7"/>
        <v>0</v>
      </c>
    </row>
    <row r="123" spans="1:10" x14ac:dyDescent="0.25">
      <c r="A123" s="38">
        <v>5</v>
      </c>
      <c r="B123" s="38" t="s">
        <v>241</v>
      </c>
      <c r="C123" s="27">
        <v>700000</v>
      </c>
      <c r="D123" s="1">
        <v>700000</v>
      </c>
      <c r="E123" s="1"/>
      <c r="F123" s="1"/>
      <c r="G123" s="72"/>
      <c r="H123" s="1"/>
      <c r="I123" s="1"/>
      <c r="J123" s="70">
        <f t="shared" si="7"/>
        <v>0</v>
      </c>
    </row>
    <row r="124" spans="1:10" x14ac:dyDescent="0.25">
      <c r="A124" s="38">
        <v>6</v>
      </c>
      <c r="B124" s="38" t="s">
        <v>309</v>
      </c>
      <c r="C124" s="27">
        <v>20000</v>
      </c>
      <c r="D124" s="1">
        <v>20000</v>
      </c>
      <c r="E124" s="1"/>
      <c r="F124" s="1"/>
      <c r="G124" s="72"/>
      <c r="H124" s="1"/>
      <c r="I124" s="1">
        <v>0</v>
      </c>
      <c r="J124" s="70">
        <f t="shared" si="7"/>
        <v>0</v>
      </c>
    </row>
    <row r="125" spans="1:10" x14ac:dyDescent="0.25">
      <c r="A125" s="1"/>
      <c r="B125" s="71" t="s">
        <v>138</v>
      </c>
      <c r="C125" s="15">
        <f>SUM(C118:C124)</f>
        <v>4796400</v>
      </c>
      <c r="D125" s="15">
        <f>SUM(D118:D124)</f>
        <v>4199900</v>
      </c>
      <c r="E125" s="15">
        <f>SUM(E118:E124)</f>
        <v>0</v>
      </c>
      <c r="F125" s="15">
        <f>SUM(F118:F123)</f>
        <v>0</v>
      </c>
      <c r="G125" s="15">
        <f>SUM(G118:G123)</f>
        <v>0</v>
      </c>
      <c r="H125" s="1">
        <f>SUM(H118:H124)</f>
        <v>0</v>
      </c>
      <c r="I125" s="1">
        <f>SUM(I118:I124)</f>
        <v>0</v>
      </c>
      <c r="J125" s="15">
        <f>SUM(J118:J124)</f>
        <v>596500</v>
      </c>
    </row>
    <row r="127" spans="1:10" ht="18.75" x14ac:dyDescent="0.3">
      <c r="B127" s="5" t="s">
        <v>377</v>
      </c>
    </row>
    <row r="128" spans="1:10" ht="18.75" x14ac:dyDescent="0.3">
      <c r="B128" s="5" t="s">
        <v>64</v>
      </c>
    </row>
    <row r="129" spans="1:10" ht="18.75" x14ac:dyDescent="0.3">
      <c r="B129" s="5" t="s">
        <v>457</v>
      </c>
    </row>
    <row r="130" spans="1:10" x14ac:dyDescent="0.25">
      <c r="A130" s="3" t="s">
        <v>163</v>
      </c>
      <c r="B130" s="3" t="s">
        <v>164</v>
      </c>
      <c r="C130" s="59" t="s">
        <v>435</v>
      </c>
      <c r="D130" s="13">
        <v>44197</v>
      </c>
      <c r="E130" s="13">
        <v>44228</v>
      </c>
      <c r="F130" s="13">
        <v>44256</v>
      </c>
      <c r="G130" s="13">
        <v>44287</v>
      </c>
      <c r="H130" s="13">
        <v>44317</v>
      </c>
      <c r="I130" s="13">
        <v>44348</v>
      </c>
      <c r="J130" s="1" t="s">
        <v>81</v>
      </c>
    </row>
    <row r="131" spans="1:10" x14ac:dyDescent="0.25">
      <c r="A131" s="38">
        <v>1</v>
      </c>
      <c r="B131" s="59" t="s">
        <v>360</v>
      </c>
      <c r="C131" s="14">
        <v>30000</v>
      </c>
      <c r="D131" s="14">
        <v>0</v>
      </c>
      <c r="E131" s="1"/>
      <c r="F131" s="1"/>
      <c r="G131" s="70"/>
      <c r="H131" s="1"/>
      <c r="I131" s="1"/>
      <c r="J131" s="70">
        <f t="shared" ref="J131:J137" si="8">SUM(C131:I131)</f>
        <v>30000</v>
      </c>
    </row>
    <row r="132" spans="1:10" x14ac:dyDescent="0.25">
      <c r="A132" s="38"/>
      <c r="B132" s="1"/>
      <c r="C132" s="14"/>
      <c r="D132" s="1"/>
      <c r="E132" s="1"/>
      <c r="F132" s="1"/>
      <c r="G132" s="70"/>
      <c r="H132" s="1"/>
      <c r="I132" s="1"/>
      <c r="J132" s="70">
        <f t="shared" si="8"/>
        <v>0</v>
      </c>
    </row>
    <row r="133" spans="1:10" x14ac:dyDescent="0.25">
      <c r="A133" s="38"/>
      <c r="B133" s="1"/>
      <c r="C133" s="14"/>
      <c r="D133" s="1"/>
      <c r="E133" s="1"/>
      <c r="F133" s="1"/>
      <c r="G133" s="70"/>
      <c r="H133" s="1"/>
      <c r="I133" s="1"/>
      <c r="J133" s="70">
        <f t="shared" si="8"/>
        <v>0</v>
      </c>
    </row>
    <row r="134" spans="1:10" x14ac:dyDescent="0.25">
      <c r="A134" s="38"/>
      <c r="B134" s="1"/>
      <c r="C134" s="14"/>
      <c r="D134" s="1"/>
      <c r="E134" s="1"/>
      <c r="F134" s="1"/>
      <c r="G134" s="70"/>
      <c r="H134" s="1"/>
      <c r="I134" s="1"/>
      <c r="J134" s="70">
        <f t="shared" si="8"/>
        <v>0</v>
      </c>
    </row>
    <row r="135" spans="1:10" x14ac:dyDescent="0.25">
      <c r="A135" s="38"/>
      <c r="B135" s="1"/>
      <c r="C135" s="14"/>
      <c r="D135" s="1"/>
      <c r="E135" s="1"/>
      <c r="F135" s="1"/>
      <c r="G135" s="70"/>
      <c r="H135" s="1"/>
      <c r="I135" s="1"/>
      <c r="J135" s="70">
        <f t="shared" si="8"/>
        <v>0</v>
      </c>
    </row>
    <row r="136" spans="1:10" x14ac:dyDescent="0.25">
      <c r="A136" s="38"/>
      <c r="B136" s="38"/>
      <c r="C136" s="27"/>
      <c r="D136" s="1"/>
      <c r="E136" s="1"/>
      <c r="F136" s="1"/>
      <c r="G136" s="72"/>
      <c r="H136" s="1"/>
      <c r="I136" s="1"/>
      <c r="J136" s="70">
        <f t="shared" si="8"/>
        <v>0</v>
      </c>
    </row>
    <row r="137" spans="1:10" x14ac:dyDescent="0.25">
      <c r="A137" s="38"/>
      <c r="B137" s="38"/>
      <c r="C137" s="27"/>
      <c r="D137" s="1"/>
      <c r="E137" s="1"/>
      <c r="F137" s="1"/>
      <c r="G137" s="72"/>
      <c r="H137" s="1"/>
      <c r="I137" s="1"/>
      <c r="J137" s="70">
        <f t="shared" si="8"/>
        <v>0</v>
      </c>
    </row>
    <row r="138" spans="1:10" x14ac:dyDescent="0.25">
      <c r="A138" s="1"/>
      <c r="B138" s="71" t="s">
        <v>138</v>
      </c>
      <c r="C138" s="15">
        <f>SUM(C131:C137)</f>
        <v>30000</v>
      </c>
      <c r="D138" s="15">
        <f>SUM(D131:D137)</f>
        <v>0</v>
      </c>
      <c r="E138" s="15">
        <f>SUM(E131:E136)</f>
        <v>0</v>
      </c>
      <c r="F138" s="15">
        <f>SUM(F131:F136)</f>
        <v>0</v>
      </c>
      <c r="G138" s="15">
        <f>SUM(G131:G136)</f>
        <v>0</v>
      </c>
      <c r="H138" s="1">
        <f>SUM(H131:H137)</f>
        <v>0</v>
      </c>
      <c r="I138" s="1">
        <f>SUM(I131:I137)</f>
        <v>0</v>
      </c>
      <c r="J138" s="15">
        <f>SUM(J131:J137)</f>
        <v>30000</v>
      </c>
    </row>
    <row r="148" spans="1:10" x14ac:dyDescent="0.25">
      <c r="A148" s="95"/>
      <c r="B148" s="12" t="s">
        <v>80</v>
      </c>
    </row>
    <row r="149" spans="1:10" x14ac:dyDescent="0.25">
      <c r="A149" s="95"/>
      <c r="B149" s="12" t="s">
        <v>64</v>
      </c>
    </row>
    <row r="150" spans="1:10" x14ac:dyDescent="0.25">
      <c r="A150" s="95"/>
      <c r="B150" s="12" t="s">
        <v>162</v>
      </c>
    </row>
    <row r="151" spans="1:10" x14ac:dyDescent="0.25">
      <c r="A151" s="95"/>
      <c r="B151" s="12" t="s">
        <v>458</v>
      </c>
    </row>
    <row r="152" spans="1:10" x14ac:dyDescent="0.25">
      <c r="A152" s="95"/>
      <c r="B152" s="12"/>
    </row>
    <row r="153" spans="1:10" x14ac:dyDescent="0.25">
      <c r="A153" s="3" t="s">
        <v>163</v>
      </c>
      <c r="B153" s="3" t="s">
        <v>164</v>
      </c>
      <c r="C153" s="59" t="s">
        <v>435</v>
      </c>
      <c r="D153" s="13">
        <v>44197</v>
      </c>
      <c r="E153" s="13">
        <v>44228</v>
      </c>
      <c r="F153" s="13">
        <v>44256</v>
      </c>
      <c r="G153" s="13">
        <v>44287</v>
      </c>
      <c r="H153" s="13">
        <v>44317</v>
      </c>
      <c r="I153" s="13">
        <v>44348</v>
      </c>
      <c r="J153" s="1" t="s">
        <v>81</v>
      </c>
    </row>
    <row r="154" spans="1:10" x14ac:dyDescent="0.25">
      <c r="A154" s="1">
        <v>1</v>
      </c>
      <c r="B154" s="1" t="s">
        <v>167</v>
      </c>
      <c r="C154" s="27">
        <v>1600000</v>
      </c>
      <c r="D154" s="27">
        <v>0</v>
      </c>
      <c r="E154" s="27">
        <v>0</v>
      </c>
      <c r="F154" s="27">
        <v>0</v>
      </c>
      <c r="G154" s="27">
        <v>0</v>
      </c>
      <c r="H154" s="27">
        <v>0</v>
      </c>
      <c r="I154" s="27">
        <v>0</v>
      </c>
      <c r="J154" s="72">
        <f>SUM(C154:I154)</f>
        <v>1600000</v>
      </c>
    </row>
    <row r="155" spans="1:10" x14ac:dyDescent="0.25">
      <c r="A155" s="1">
        <v>2</v>
      </c>
      <c r="B155" s="1" t="s">
        <v>168</v>
      </c>
      <c r="C155" s="27">
        <v>522000</v>
      </c>
      <c r="D155" s="27">
        <v>0</v>
      </c>
      <c r="E155" s="27">
        <v>0</v>
      </c>
      <c r="F155" s="27">
        <v>0</v>
      </c>
      <c r="G155" s="27">
        <v>0</v>
      </c>
      <c r="H155" s="27">
        <v>0</v>
      </c>
      <c r="I155" s="27">
        <v>0</v>
      </c>
      <c r="J155" s="72">
        <f t="shared" ref="J155:J202" si="9">SUM(C155:I155)</f>
        <v>522000</v>
      </c>
    </row>
    <row r="156" spans="1:10" x14ac:dyDescent="0.25">
      <c r="A156" s="1">
        <v>3</v>
      </c>
      <c r="B156" s="1" t="s">
        <v>169</v>
      </c>
      <c r="C156" s="27">
        <v>1425000</v>
      </c>
      <c r="D156" s="27">
        <v>15000</v>
      </c>
      <c r="E156" s="27">
        <v>0</v>
      </c>
      <c r="F156" s="27">
        <v>0</v>
      </c>
      <c r="G156" s="27">
        <v>0</v>
      </c>
      <c r="H156" s="27">
        <v>0</v>
      </c>
      <c r="I156" s="27">
        <v>0</v>
      </c>
      <c r="J156" s="72">
        <f t="shared" si="9"/>
        <v>1440000</v>
      </c>
    </row>
    <row r="157" spans="1:10" x14ac:dyDescent="0.25">
      <c r="A157" s="1">
        <v>4</v>
      </c>
      <c r="B157" s="1" t="s">
        <v>170</v>
      </c>
      <c r="C157" s="27">
        <v>570000</v>
      </c>
      <c r="D157" s="27">
        <v>0</v>
      </c>
      <c r="E157" s="27">
        <v>0</v>
      </c>
      <c r="F157" s="27">
        <v>0</v>
      </c>
      <c r="G157" s="27">
        <v>0</v>
      </c>
      <c r="H157" s="27">
        <v>0</v>
      </c>
      <c r="I157" s="27">
        <v>0</v>
      </c>
      <c r="J157" s="72">
        <f t="shared" si="9"/>
        <v>570000</v>
      </c>
    </row>
    <row r="158" spans="1:10" x14ac:dyDescent="0.25">
      <c r="A158" s="1">
        <v>5</v>
      </c>
      <c r="B158" s="1" t="s">
        <v>171</v>
      </c>
      <c r="C158" s="27">
        <v>1985500</v>
      </c>
      <c r="D158" s="27">
        <v>10000</v>
      </c>
      <c r="E158" s="27">
        <v>10000</v>
      </c>
      <c r="F158" s="27">
        <v>10000</v>
      </c>
      <c r="G158" s="27">
        <v>0</v>
      </c>
      <c r="H158" s="27">
        <v>12000</v>
      </c>
      <c r="I158" s="27">
        <v>10000</v>
      </c>
      <c r="J158" s="72">
        <f t="shared" si="9"/>
        <v>2037500</v>
      </c>
    </row>
    <row r="159" spans="1:10" x14ac:dyDescent="0.25">
      <c r="A159" s="1">
        <v>6</v>
      </c>
      <c r="B159" s="1" t="s">
        <v>174</v>
      </c>
      <c r="C159" s="27">
        <v>1180000</v>
      </c>
      <c r="D159" s="27">
        <v>0</v>
      </c>
      <c r="E159" s="27">
        <v>0</v>
      </c>
      <c r="F159" s="27">
        <v>0</v>
      </c>
      <c r="G159" s="27">
        <v>0</v>
      </c>
      <c r="H159" s="27">
        <v>0</v>
      </c>
      <c r="I159" s="27">
        <v>0</v>
      </c>
      <c r="J159" s="72">
        <f t="shared" si="9"/>
        <v>1180000</v>
      </c>
    </row>
    <row r="160" spans="1:10" x14ac:dyDescent="0.25">
      <c r="A160" s="1">
        <v>7</v>
      </c>
      <c r="B160" s="1" t="s">
        <v>172</v>
      </c>
      <c r="C160" s="27">
        <v>1600000</v>
      </c>
      <c r="D160" s="27">
        <v>0</v>
      </c>
      <c r="E160" s="27">
        <v>0</v>
      </c>
      <c r="F160" s="27">
        <v>0</v>
      </c>
      <c r="G160" s="27">
        <v>0</v>
      </c>
      <c r="H160" s="27">
        <v>0</v>
      </c>
      <c r="I160" s="27">
        <v>0</v>
      </c>
      <c r="J160" s="72">
        <f t="shared" si="9"/>
        <v>1600000</v>
      </c>
    </row>
    <row r="161" spans="1:10" x14ac:dyDescent="0.25">
      <c r="A161" s="1">
        <v>8</v>
      </c>
      <c r="B161" s="1" t="s">
        <v>173</v>
      </c>
      <c r="C161" s="27">
        <v>1305000</v>
      </c>
      <c r="D161" s="27">
        <v>0</v>
      </c>
      <c r="E161" s="27">
        <v>0</v>
      </c>
      <c r="F161" s="27">
        <v>0</v>
      </c>
      <c r="G161" s="27">
        <v>0</v>
      </c>
      <c r="H161" s="27">
        <v>0</v>
      </c>
      <c r="I161" s="27">
        <v>100000</v>
      </c>
      <c r="J161" s="72">
        <f t="shared" si="9"/>
        <v>1405000</v>
      </c>
    </row>
    <row r="162" spans="1:10" x14ac:dyDescent="0.25">
      <c r="A162" s="90">
        <v>9</v>
      </c>
      <c r="B162" s="38" t="s">
        <v>176</v>
      </c>
      <c r="C162" s="27">
        <v>650000</v>
      </c>
      <c r="D162" s="27">
        <v>0</v>
      </c>
      <c r="E162" s="27">
        <v>0</v>
      </c>
      <c r="F162" s="27">
        <v>0</v>
      </c>
      <c r="G162" s="27">
        <v>0</v>
      </c>
      <c r="H162" s="27">
        <v>0</v>
      </c>
      <c r="I162" s="27">
        <v>0</v>
      </c>
      <c r="J162" s="72">
        <f t="shared" si="9"/>
        <v>650000</v>
      </c>
    </row>
    <row r="163" spans="1:10" x14ac:dyDescent="0.25">
      <c r="A163" s="1">
        <v>10</v>
      </c>
      <c r="B163" s="1" t="s">
        <v>177</v>
      </c>
      <c r="C163" s="27">
        <v>530000</v>
      </c>
      <c r="D163" s="27">
        <v>0</v>
      </c>
      <c r="E163" s="27">
        <v>0</v>
      </c>
      <c r="F163" s="27">
        <v>0</v>
      </c>
      <c r="G163" s="27">
        <v>0</v>
      </c>
      <c r="H163" s="27">
        <v>0</v>
      </c>
      <c r="I163" s="27">
        <v>0</v>
      </c>
      <c r="J163" s="72">
        <f t="shared" si="9"/>
        <v>530000</v>
      </c>
    </row>
    <row r="164" spans="1:10" x14ac:dyDescent="0.25">
      <c r="A164" s="1">
        <v>11</v>
      </c>
      <c r="B164" s="1" t="s">
        <v>178</v>
      </c>
      <c r="C164" s="27">
        <v>1370000</v>
      </c>
      <c r="D164" s="27">
        <v>0</v>
      </c>
      <c r="E164" s="27">
        <v>0</v>
      </c>
      <c r="F164" s="27">
        <v>0</v>
      </c>
      <c r="G164" s="27">
        <v>0</v>
      </c>
      <c r="H164" s="27">
        <v>0</v>
      </c>
      <c r="I164" s="27">
        <v>200000</v>
      </c>
      <c r="J164" s="72">
        <f t="shared" si="9"/>
        <v>1570000</v>
      </c>
    </row>
    <row r="165" spans="1:10" x14ac:dyDescent="0.25">
      <c r="A165" s="1">
        <v>12</v>
      </c>
      <c r="B165" s="1" t="s">
        <v>179</v>
      </c>
      <c r="C165" s="27">
        <v>570000</v>
      </c>
      <c r="D165" s="27">
        <v>0</v>
      </c>
      <c r="E165" s="27">
        <v>0</v>
      </c>
      <c r="F165" s="27">
        <v>0</v>
      </c>
      <c r="G165" s="27">
        <v>0</v>
      </c>
      <c r="H165" s="27">
        <v>0</v>
      </c>
      <c r="I165" s="27">
        <v>0</v>
      </c>
      <c r="J165" s="72">
        <f t="shared" si="9"/>
        <v>570000</v>
      </c>
    </row>
    <row r="166" spans="1:10" x14ac:dyDescent="0.25">
      <c r="A166" s="1">
        <v>13</v>
      </c>
      <c r="B166" s="1" t="s">
        <v>180</v>
      </c>
      <c r="C166" s="27">
        <v>1500000</v>
      </c>
      <c r="D166" s="27">
        <v>0</v>
      </c>
      <c r="E166" s="27">
        <v>25000</v>
      </c>
      <c r="F166" s="27">
        <v>0</v>
      </c>
      <c r="G166" s="27">
        <v>0</v>
      </c>
      <c r="H166" s="27">
        <v>50000</v>
      </c>
      <c r="I166" s="27">
        <v>0</v>
      </c>
      <c r="J166" s="72">
        <f t="shared" si="9"/>
        <v>1575000</v>
      </c>
    </row>
    <row r="167" spans="1:10" x14ac:dyDescent="0.25">
      <c r="A167" s="1">
        <v>14</v>
      </c>
      <c r="B167" s="1" t="s">
        <v>181</v>
      </c>
      <c r="C167" s="27">
        <v>2203000</v>
      </c>
      <c r="D167" s="27">
        <v>47000</v>
      </c>
      <c r="E167" s="27">
        <v>0</v>
      </c>
      <c r="F167" s="27">
        <v>0</v>
      </c>
      <c r="G167" s="27">
        <v>0</v>
      </c>
      <c r="H167" s="27">
        <v>0</v>
      </c>
      <c r="I167" s="27">
        <v>0</v>
      </c>
      <c r="J167" s="72">
        <f t="shared" si="9"/>
        <v>2250000</v>
      </c>
    </row>
    <row r="168" spans="1:10" x14ac:dyDescent="0.25">
      <c r="A168" s="1">
        <v>15</v>
      </c>
      <c r="B168" s="1" t="s">
        <v>182</v>
      </c>
      <c r="C168" s="27">
        <v>1265515</v>
      </c>
      <c r="D168" s="27">
        <v>0</v>
      </c>
      <c r="E168" s="27">
        <v>0</v>
      </c>
      <c r="F168" s="27">
        <v>0</v>
      </c>
      <c r="G168" s="27">
        <v>0</v>
      </c>
      <c r="H168" s="27">
        <v>0</v>
      </c>
      <c r="I168" s="27">
        <v>0</v>
      </c>
      <c r="J168" s="72">
        <f t="shared" si="9"/>
        <v>1265515</v>
      </c>
    </row>
    <row r="169" spans="1:10" x14ac:dyDescent="0.25">
      <c r="A169" s="1">
        <v>16</v>
      </c>
      <c r="B169" s="1" t="s">
        <v>183</v>
      </c>
      <c r="C169" s="27">
        <v>565000</v>
      </c>
      <c r="D169" s="27">
        <v>0</v>
      </c>
      <c r="E169" s="27">
        <v>0</v>
      </c>
      <c r="F169" s="27">
        <v>0</v>
      </c>
      <c r="G169" s="27">
        <v>0</v>
      </c>
      <c r="H169" s="27">
        <v>0</v>
      </c>
      <c r="I169" s="27">
        <v>0</v>
      </c>
      <c r="J169" s="72">
        <f t="shared" si="9"/>
        <v>565000</v>
      </c>
    </row>
    <row r="170" spans="1:10" x14ac:dyDescent="0.25">
      <c r="A170" s="1">
        <v>17</v>
      </c>
      <c r="B170" s="1" t="s">
        <v>184</v>
      </c>
      <c r="C170" s="27">
        <v>1916400</v>
      </c>
      <c r="D170" s="27">
        <v>0</v>
      </c>
      <c r="E170" s="27">
        <v>0</v>
      </c>
      <c r="F170" s="27">
        <v>0</v>
      </c>
      <c r="G170" s="27">
        <v>0</v>
      </c>
      <c r="H170" s="27">
        <v>0</v>
      </c>
      <c r="I170" s="27">
        <v>0</v>
      </c>
      <c r="J170" s="72">
        <f t="shared" si="9"/>
        <v>1916400</v>
      </c>
    </row>
    <row r="171" spans="1:10" x14ac:dyDescent="0.25">
      <c r="A171" s="1">
        <v>18</v>
      </c>
      <c r="B171" s="1" t="s">
        <v>185</v>
      </c>
      <c r="C171" s="27">
        <v>1800000</v>
      </c>
      <c r="D171" s="27">
        <v>240000</v>
      </c>
      <c r="E171" s="27">
        <v>0</v>
      </c>
      <c r="F171" s="27">
        <v>0</v>
      </c>
      <c r="G171" s="27">
        <v>0</v>
      </c>
      <c r="H171" s="27">
        <v>50000</v>
      </c>
      <c r="I171" s="27">
        <v>0</v>
      </c>
      <c r="J171" s="72">
        <f t="shared" si="9"/>
        <v>2090000</v>
      </c>
    </row>
    <row r="172" spans="1:10" x14ac:dyDescent="0.25">
      <c r="A172" s="1">
        <v>19</v>
      </c>
      <c r="B172" s="1" t="s">
        <v>186</v>
      </c>
      <c r="C172" s="27">
        <v>500000</v>
      </c>
      <c r="D172" s="27">
        <v>0</v>
      </c>
      <c r="E172" s="27">
        <v>0</v>
      </c>
      <c r="F172" s="27">
        <v>0</v>
      </c>
      <c r="G172" s="27">
        <v>0</v>
      </c>
      <c r="H172" s="27">
        <v>0</v>
      </c>
      <c r="I172" s="27">
        <v>0</v>
      </c>
      <c r="J172" s="72">
        <f t="shared" si="9"/>
        <v>500000</v>
      </c>
    </row>
    <row r="173" spans="1:10" x14ac:dyDescent="0.25">
      <c r="A173" s="1">
        <v>20</v>
      </c>
      <c r="B173" s="1" t="s">
        <v>187</v>
      </c>
      <c r="C173" s="27">
        <v>500000</v>
      </c>
      <c r="D173" s="27">
        <v>0</v>
      </c>
      <c r="E173" s="27">
        <v>0</v>
      </c>
      <c r="F173" s="27">
        <v>0</v>
      </c>
      <c r="G173" s="27">
        <v>0</v>
      </c>
      <c r="H173" s="27">
        <v>0</v>
      </c>
      <c r="I173" s="27">
        <v>0</v>
      </c>
      <c r="J173" s="72">
        <f t="shared" si="9"/>
        <v>500000</v>
      </c>
    </row>
    <row r="174" spans="1:10" x14ac:dyDescent="0.25">
      <c r="A174" s="38">
        <v>21</v>
      </c>
      <c r="B174" s="38" t="s">
        <v>188</v>
      </c>
      <c r="C174" s="27">
        <f>550000+50000-100000</f>
        <v>500000</v>
      </c>
      <c r="D174" s="27">
        <v>0</v>
      </c>
      <c r="E174" s="27">
        <v>0</v>
      </c>
      <c r="F174" s="27">
        <v>0</v>
      </c>
      <c r="G174" s="27">
        <v>0</v>
      </c>
      <c r="H174" s="27">
        <v>0</v>
      </c>
      <c r="I174" s="27">
        <v>0</v>
      </c>
      <c r="J174" s="72">
        <f t="shared" si="9"/>
        <v>500000</v>
      </c>
    </row>
    <row r="175" spans="1:10" x14ac:dyDescent="0.25">
      <c r="A175" s="38">
        <v>22</v>
      </c>
      <c r="B175" s="38" t="s">
        <v>189</v>
      </c>
      <c r="C175" s="27">
        <v>1645000</v>
      </c>
      <c r="D175" s="27">
        <v>0</v>
      </c>
      <c r="E175" s="27">
        <v>0</v>
      </c>
      <c r="F175" s="27">
        <v>0</v>
      </c>
      <c r="G175" s="27">
        <v>0</v>
      </c>
      <c r="H175" s="27">
        <v>0</v>
      </c>
      <c r="I175" s="27">
        <v>0</v>
      </c>
      <c r="J175" s="72">
        <f t="shared" si="9"/>
        <v>1645000</v>
      </c>
    </row>
    <row r="176" spans="1:10" x14ac:dyDescent="0.25">
      <c r="A176" s="38">
        <v>23</v>
      </c>
      <c r="B176" s="38" t="s">
        <v>190</v>
      </c>
      <c r="C176" s="27">
        <v>600000</v>
      </c>
      <c r="D176" s="27">
        <v>0</v>
      </c>
      <c r="E176" s="27">
        <v>0</v>
      </c>
      <c r="F176" s="27"/>
      <c r="G176" s="27">
        <v>0</v>
      </c>
      <c r="H176" s="27">
        <v>0</v>
      </c>
      <c r="I176" s="27">
        <v>0</v>
      </c>
      <c r="J176" s="72">
        <f t="shared" si="9"/>
        <v>600000</v>
      </c>
    </row>
    <row r="177" spans="1:10" x14ac:dyDescent="0.25">
      <c r="A177" s="38">
        <v>24</v>
      </c>
      <c r="B177" s="38" t="s">
        <v>450</v>
      </c>
      <c r="C177" s="27">
        <v>1279000</v>
      </c>
      <c r="D177" s="27">
        <v>0</v>
      </c>
      <c r="E177" s="27">
        <v>0</v>
      </c>
      <c r="F177" s="27">
        <v>0</v>
      </c>
      <c r="G177" s="27">
        <v>283000</v>
      </c>
      <c r="H177" s="27">
        <v>0</v>
      </c>
      <c r="I177" s="27">
        <v>0</v>
      </c>
      <c r="J177" s="72">
        <f t="shared" si="9"/>
        <v>1562000</v>
      </c>
    </row>
    <row r="178" spans="1:10" x14ac:dyDescent="0.25">
      <c r="A178" s="38">
        <v>25</v>
      </c>
      <c r="B178" s="38" t="s">
        <v>192</v>
      </c>
      <c r="C178" s="27">
        <v>850000</v>
      </c>
      <c r="D178" s="27">
        <v>0</v>
      </c>
      <c r="E178" s="27">
        <v>0</v>
      </c>
      <c r="F178" s="27">
        <v>0</v>
      </c>
      <c r="G178" s="27">
        <v>0</v>
      </c>
      <c r="H178" s="27">
        <v>100000</v>
      </c>
      <c r="I178" s="27">
        <v>0</v>
      </c>
      <c r="J178" s="72">
        <f t="shared" si="9"/>
        <v>950000</v>
      </c>
    </row>
    <row r="179" spans="1:10" x14ac:dyDescent="0.25">
      <c r="A179" s="38">
        <v>26</v>
      </c>
      <c r="B179" s="38" t="s">
        <v>193</v>
      </c>
      <c r="C179" s="27">
        <v>2694175</v>
      </c>
      <c r="D179" s="27">
        <v>0</v>
      </c>
      <c r="E179" s="27">
        <v>0</v>
      </c>
      <c r="F179" s="27">
        <v>0</v>
      </c>
      <c r="G179" s="27">
        <v>0</v>
      </c>
      <c r="H179" s="27">
        <v>0</v>
      </c>
      <c r="I179" s="27">
        <v>0</v>
      </c>
      <c r="J179" s="72">
        <f t="shared" si="9"/>
        <v>2694175</v>
      </c>
    </row>
    <row r="180" spans="1:10" x14ac:dyDescent="0.25">
      <c r="A180" s="38">
        <v>27</v>
      </c>
      <c r="B180" s="38" t="s">
        <v>378</v>
      </c>
      <c r="C180" s="27">
        <v>2690000</v>
      </c>
      <c r="D180" s="27">
        <v>0</v>
      </c>
      <c r="E180" s="27">
        <v>100000</v>
      </c>
      <c r="F180" s="27">
        <v>0</v>
      </c>
      <c r="G180" s="27">
        <v>0</v>
      </c>
      <c r="H180" s="27">
        <v>100000</v>
      </c>
      <c r="I180" s="27">
        <v>0</v>
      </c>
      <c r="J180" s="72">
        <f t="shared" si="9"/>
        <v>2890000</v>
      </c>
    </row>
    <row r="181" spans="1:10" x14ac:dyDescent="0.25">
      <c r="A181" s="38">
        <v>28</v>
      </c>
      <c r="B181" s="38" t="s">
        <v>196</v>
      </c>
      <c r="C181" s="27">
        <v>120000</v>
      </c>
      <c r="D181" s="27">
        <v>0</v>
      </c>
      <c r="E181" s="27">
        <v>0</v>
      </c>
      <c r="F181" s="27">
        <v>0</v>
      </c>
      <c r="G181" s="27">
        <v>0</v>
      </c>
      <c r="H181" s="27">
        <v>0</v>
      </c>
      <c r="I181" s="27">
        <v>0</v>
      </c>
      <c r="J181" s="72">
        <f t="shared" si="9"/>
        <v>120000</v>
      </c>
    </row>
    <row r="182" spans="1:10" x14ac:dyDescent="0.25">
      <c r="A182" s="38">
        <v>29</v>
      </c>
      <c r="B182" s="38" t="s">
        <v>197</v>
      </c>
      <c r="C182" s="27">
        <v>1570000</v>
      </c>
      <c r="D182" s="27">
        <v>0</v>
      </c>
      <c r="E182" s="27">
        <v>0</v>
      </c>
      <c r="F182" s="27">
        <v>0</v>
      </c>
      <c r="G182" s="27">
        <v>330000</v>
      </c>
      <c r="H182" s="27">
        <v>300000</v>
      </c>
      <c r="I182" s="27">
        <v>0</v>
      </c>
      <c r="J182" s="72">
        <f t="shared" si="9"/>
        <v>2200000</v>
      </c>
    </row>
    <row r="183" spans="1:10" x14ac:dyDescent="0.25">
      <c r="A183" s="38">
        <v>30</v>
      </c>
      <c r="B183" s="38" t="s">
        <v>308</v>
      </c>
      <c r="C183" s="27">
        <v>555000</v>
      </c>
      <c r="D183" s="27">
        <v>0</v>
      </c>
      <c r="E183" s="27">
        <v>0</v>
      </c>
      <c r="F183" s="27">
        <v>0</v>
      </c>
      <c r="G183" s="27">
        <v>0</v>
      </c>
      <c r="H183" s="27">
        <v>0</v>
      </c>
      <c r="I183" s="27">
        <v>150000</v>
      </c>
      <c r="J183" s="72">
        <f t="shared" si="9"/>
        <v>705000</v>
      </c>
    </row>
    <row r="184" spans="1:10" x14ac:dyDescent="0.25">
      <c r="A184" s="38">
        <v>31</v>
      </c>
      <c r="B184" s="38" t="s">
        <v>201</v>
      </c>
      <c r="C184" s="27">
        <v>1100000</v>
      </c>
      <c r="D184" s="27">
        <v>0</v>
      </c>
      <c r="E184" s="27">
        <v>0</v>
      </c>
      <c r="F184" s="27">
        <v>0</v>
      </c>
      <c r="G184" s="27">
        <v>0</v>
      </c>
      <c r="H184" s="27">
        <v>0</v>
      </c>
      <c r="I184" s="27">
        <v>200000</v>
      </c>
      <c r="J184" s="72">
        <f t="shared" si="9"/>
        <v>1300000</v>
      </c>
    </row>
    <row r="185" spans="1:10" x14ac:dyDescent="0.25">
      <c r="A185" s="90">
        <v>32</v>
      </c>
      <c r="B185" s="1" t="s">
        <v>204</v>
      </c>
      <c r="C185" s="27">
        <v>1665058</v>
      </c>
      <c r="D185" s="27">
        <v>0</v>
      </c>
      <c r="E185" s="27">
        <v>0</v>
      </c>
      <c r="F185" s="27">
        <v>0</v>
      </c>
      <c r="G185" s="27">
        <v>0</v>
      </c>
      <c r="H185" s="27">
        <v>0</v>
      </c>
      <c r="I185" s="27">
        <v>0</v>
      </c>
      <c r="J185" s="72">
        <f t="shared" si="9"/>
        <v>1665058</v>
      </c>
    </row>
    <row r="186" spans="1:10" x14ac:dyDescent="0.25">
      <c r="A186" s="38">
        <v>33</v>
      </c>
      <c r="B186" s="1" t="s">
        <v>205</v>
      </c>
      <c r="C186" s="27">
        <v>600000</v>
      </c>
      <c r="D186" s="27">
        <v>0</v>
      </c>
      <c r="E186" s="27">
        <v>0</v>
      </c>
      <c r="F186" s="27">
        <v>0</v>
      </c>
      <c r="G186" s="27">
        <v>0</v>
      </c>
      <c r="H186" s="14">
        <v>0</v>
      </c>
      <c r="I186" s="14">
        <v>0</v>
      </c>
      <c r="J186" s="70">
        <f t="shared" si="9"/>
        <v>600000</v>
      </c>
    </row>
    <row r="187" spans="1:10" x14ac:dyDescent="0.25">
      <c r="A187" s="38">
        <v>34</v>
      </c>
      <c r="B187" s="1" t="s">
        <v>208</v>
      </c>
      <c r="C187" s="14">
        <v>1520000</v>
      </c>
      <c r="D187" s="14">
        <v>0</v>
      </c>
      <c r="E187" s="14">
        <v>0</v>
      </c>
      <c r="F187" s="14">
        <v>0</v>
      </c>
      <c r="G187" s="14">
        <v>0</v>
      </c>
      <c r="H187" s="14">
        <v>0</v>
      </c>
      <c r="I187" s="14">
        <v>0</v>
      </c>
      <c r="J187" s="70">
        <f t="shared" si="9"/>
        <v>1520000</v>
      </c>
    </row>
    <row r="188" spans="1:10" x14ac:dyDescent="0.25">
      <c r="A188" s="38">
        <v>35</v>
      </c>
      <c r="B188" s="38" t="s">
        <v>230</v>
      </c>
      <c r="C188" s="27">
        <f>600000-50000+100000</f>
        <v>650000</v>
      </c>
      <c r="D188" s="27">
        <v>0</v>
      </c>
      <c r="E188" s="27">
        <v>0</v>
      </c>
      <c r="F188" s="27">
        <v>0</v>
      </c>
      <c r="G188" s="27">
        <v>0</v>
      </c>
      <c r="H188" s="27">
        <v>0</v>
      </c>
      <c r="I188" s="27">
        <v>0</v>
      </c>
      <c r="J188" s="72">
        <f t="shared" si="9"/>
        <v>650000</v>
      </c>
    </row>
    <row r="189" spans="1:10" x14ac:dyDescent="0.25">
      <c r="A189" s="38">
        <v>36</v>
      </c>
      <c r="B189" s="38" t="s">
        <v>236</v>
      </c>
      <c r="C189" s="27">
        <v>1569000</v>
      </c>
      <c r="D189" s="27">
        <v>0</v>
      </c>
      <c r="E189" s="27">
        <v>0</v>
      </c>
      <c r="F189" s="27">
        <v>0</v>
      </c>
      <c r="G189" s="27">
        <v>0</v>
      </c>
      <c r="H189" s="27">
        <v>0</v>
      </c>
      <c r="I189" s="27">
        <v>0</v>
      </c>
      <c r="J189" s="72">
        <f t="shared" si="9"/>
        <v>1569000</v>
      </c>
    </row>
    <row r="190" spans="1:10" x14ac:dyDescent="0.25">
      <c r="A190" s="38">
        <v>37</v>
      </c>
      <c r="B190" s="38" t="s">
        <v>285</v>
      </c>
      <c r="C190" s="27">
        <v>500000</v>
      </c>
      <c r="D190" s="27">
        <v>0</v>
      </c>
      <c r="E190" s="27">
        <v>0</v>
      </c>
      <c r="F190" s="27">
        <v>0</v>
      </c>
      <c r="G190" s="27">
        <v>0</v>
      </c>
      <c r="H190" s="27">
        <v>0</v>
      </c>
      <c r="I190" s="27">
        <v>0</v>
      </c>
      <c r="J190" s="72">
        <f t="shared" si="9"/>
        <v>500000</v>
      </c>
    </row>
    <row r="191" spans="1:10" x14ac:dyDescent="0.25">
      <c r="A191" s="38">
        <v>38</v>
      </c>
      <c r="B191" s="38" t="s">
        <v>286</v>
      </c>
      <c r="C191" s="27">
        <v>1400000</v>
      </c>
      <c r="D191" s="27">
        <v>0</v>
      </c>
      <c r="E191" s="27">
        <v>0</v>
      </c>
      <c r="F191" s="27">
        <v>0</v>
      </c>
      <c r="G191" s="27">
        <v>0</v>
      </c>
      <c r="H191" s="27">
        <v>0</v>
      </c>
      <c r="I191" s="27">
        <v>0</v>
      </c>
      <c r="J191" s="72">
        <f t="shared" si="9"/>
        <v>1400000</v>
      </c>
    </row>
    <row r="192" spans="1:10" x14ac:dyDescent="0.25">
      <c r="A192" s="38">
        <v>39</v>
      </c>
      <c r="B192" s="38" t="s">
        <v>451</v>
      </c>
      <c r="C192" s="27">
        <v>120000</v>
      </c>
      <c r="D192" s="27">
        <v>0</v>
      </c>
      <c r="E192" s="27">
        <v>10000</v>
      </c>
      <c r="F192" s="27">
        <v>10000</v>
      </c>
      <c r="G192" s="27">
        <v>0</v>
      </c>
      <c r="H192" s="27">
        <v>0</v>
      </c>
      <c r="I192" s="27">
        <v>0</v>
      </c>
      <c r="J192" s="72">
        <f t="shared" si="9"/>
        <v>140000</v>
      </c>
    </row>
    <row r="193" spans="1:10" x14ac:dyDescent="0.25">
      <c r="A193" s="38">
        <v>40</v>
      </c>
      <c r="B193" s="38" t="s">
        <v>288</v>
      </c>
      <c r="C193" s="27">
        <v>809000</v>
      </c>
      <c r="D193" s="27">
        <v>0</v>
      </c>
      <c r="E193" s="27">
        <v>300000</v>
      </c>
      <c r="F193" s="27">
        <v>0</v>
      </c>
      <c r="G193" s="27">
        <v>0</v>
      </c>
      <c r="H193" s="27">
        <v>0</v>
      </c>
      <c r="I193" s="27">
        <v>0</v>
      </c>
      <c r="J193" s="72">
        <f t="shared" si="9"/>
        <v>1109000</v>
      </c>
    </row>
    <row r="194" spans="1:10" x14ac:dyDescent="0.25">
      <c r="A194" s="38">
        <v>41</v>
      </c>
      <c r="B194" s="123" t="s">
        <v>289</v>
      </c>
      <c r="C194" s="124">
        <v>1550000</v>
      </c>
      <c r="D194" s="124">
        <v>0</v>
      </c>
      <c r="E194" s="124">
        <v>0</v>
      </c>
      <c r="F194" s="124">
        <v>0</v>
      </c>
      <c r="G194" s="124">
        <v>0</v>
      </c>
      <c r="H194" s="27">
        <v>50000</v>
      </c>
      <c r="I194" s="27">
        <v>0</v>
      </c>
      <c r="J194" s="72">
        <f t="shared" si="9"/>
        <v>1600000</v>
      </c>
    </row>
    <row r="195" spans="1:10" x14ac:dyDescent="0.25">
      <c r="A195" s="38">
        <v>42</v>
      </c>
      <c r="B195" s="38" t="s">
        <v>315</v>
      </c>
      <c r="C195" s="27">
        <v>2520000</v>
      </c>
      <c r="D195" s="124">
        <v>0</v>
      </c>
      <c r="E195" s="27">
        <v>0</v>
      </c>
      <c r="F195" s="27">
        <v>0</v>
      </c>
      <c r="G195" s="27">
        <v>0</v>
      </c>
      <c r="H195" s="27">
        <v>0</v>
      </c>
      <c r="I195" s="27">
        <v>0</v>
      </c>
      <c r="J195" s="72">
        <f t="shared" si="9"/>
        <v>2520000</v>
      </c>
    </row>
    <row r="196" spans="1:10" x14ac:dyDescent="0.25">
      <c r="A196" s="75">
        <v>43</v>
      </c>
      <c r="B196" s="38" t="s">
        <v>316</v>
      </c>
      <c r="C196" s="27">
        <v>2600000</v>
      </c>
      <c r="D196" s="124">
        <v>0</v>
      </c>
      <c r="E196" s="27">
        <v>0</v>
      </c>
      <c r="F196" s="27">
        <v>0</v>
      </c>
      <c r="G196" s="27">
        <v>0</v>
      </c>
      <c r="H196" s="27">
        <v>0</v>
      </c>
      <c r="I196" s="27">
        <v>0</v>
      </c>
      <c r="J196" s="72">
        <f t="shared" si="9"/>
        <v>2600000</v>
      </c>
    </row>
    <row r="197" spans="1:10" x14ac:dyDescent="0.25">
      <c r="A197" s="90">
        <v>44</v>
      </c>
      <c r="B197" s="38" t="s">
        <v>338</v>
      </c>
      <c r="C197" s="27">
        <v>2300000</v>
      </c>
      <c r="D197" s="124">
        <v>0</v>
      </c>
      <c r="E197" s="27">
        <v>0</v>
      </c>
      <c r="F197" s="27">
        <v>0</v>
      </c>
      <c r="G197" s="27">
        <v>0</v>
      </c>
      <c r="H197" s="27">
        <v>0</v>
      </c>
      <c r="I197" s="27">
        <v>0</v>
      </c>
      <c r="J197" s="72">
        <f t="shared" si="9"/>
        <v>2300000</v>
      </c>
    </row>
    <row r="198" spans="1:10" x14ac:dyDescent="0.25">
      <c r="A198" s="38">
        <v>45</v>
      </c>
      <c r="B198" s="38" t="s">
        <v>383</v>
      </c>
      <c r="C198" s="27">
        <v>1150000</v>
      </c>
      <c r="D198" s="27">
        <v>100000</v>
      </c>
      <c r="E198" s="27">
        <v>0</v>
      </c>
      <c r="F198" s="27">
        <v>0</v>
      </c>
      <c r="G198" s="27">
        <v>100000</v>
      </c>
      <c r="H198" s="27">
        <v>100000</v>
      </c>
      <c r="I198" s="27">
        <v>0</v>
      </c>
      <c r="J198" s="27">
        <f t="shared" si="9"/>
        <v>1450000</v>
      </c>
    </row>
    <row r="199" spans="1:10" x14ac:dyDescent="0.25">
      <c r="A199" s="38">
        <v>46</v>
      </c>
      <c r="B199" s="1" t="s">
        <v>384</v>
      </c>
      <c r="C199" s="14">
        <v>810000</v>
      </c>
      <c r="D199" s="14">
        <v>0</v>
      </c>
      <c r="E199" s="14">
        <v>0</v>
      </c>
      <c r="F199" s="14">
        <v>0</v>
      </c>
      <c r="G199" s="14">
        <v>0</v>
      </c>
      <c r="H199" s="14">
        <v>0</v>
      </c>
      <c r="I199" s="14">
        <v>0</v>
      </c>
      <c r="J199" s="14">
        <f t="shared" si="9"/>
        <v>810000</v>
      </c>
    </row>
    <row r="200" spans="1:10" x14ac:dyDescent="0.25">
      <c r="A200" s="38">
        <v>47</v>
      </c>
      <c r="B200" s="1" t="s">
        <v>399</v>
      </c>
      <c r="C200" s="14">
        <v>1500000</v>
      </c>
      <c r="D200" s="14">
        <v>0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f t="shared" si="9"/>
        <v>1500000</v>
      </c>
    </row>
    <row r="201" spans="1:10" x14ac:dyDescent="0.25">
      <c r="A201" s="38">
        <v>48</v>
      </c>
      <c r="B201" s="1" t="s">
        <v>401</v>
      </c>
      <c r="C201" s="14">
        <v>1750000</v>
      </c>
      <c r="D201" s="14">
        <v>200000</v>
      </c>
      <c r="E201" s="14">
        <v>0</v>
      </c>
      <c r="F201" s="14">
        <v>0</v>
      </c>
      <c r="G201" s="14">
        <v>0</v>
      </c>
      <c r="H201" s="14">
        <v>0</v>
      </c>
      <c r="I201" s="14">
        <v>34000</v>
      </c>
      <c r="J201" s="70">
        <f t="shared" si="9"/>
        <v>1984000</v>
      </c>
    </row>
    <row r="202" spans="1:10" x14ac:dyDescent="0.25">
      <c r="A202" s="38">
        <v>49</v>
      </c>
      <c r="B202" s="1" t="s">
        <v>422</v>
      </c>
      <c r="C202" s="1">
        <v>1280000</v>
      </c>
      <c r="D202" s="14">
        <v>35000</v>
      </c>
      <c r="E202" s="14">
        <v>35000</v>
      </c>
      <c r="F202" s="14">
        <v>70000</v>
      </c>
      <c r="G202" s="14">
        <v>0</v>
      </c>
      <c r="H202" s="14">
        <v>35000</v>
      </c>
      <c r="I202" s="14">
        <f>45000+45000</f>
        <v>90000</v>
      </c>
      <c r="J202" s="14">
        <f t="shared" si="9"/>
        <v>1545000</v>
      </c>
    </row>
    <row r="203" spans="1:10" x14ac:dyDescent="0.25">
      <c r="A203" s="38"/>
      <c r="B203" s="1"/>
      <c r="C203" s="1"/>
      <c r="D203" s="1"/>
      <c r="E203" s="1"/>
      <c r="F203" s="1"/>
      <c r="G203" s="1"/>
      <c r="H203" s="14"/>
      <c r="I203" s="14"/>
      <c r="J203" s="1"/>
    </row>
    <row r="204" spans="1:10" x14ac:dyDescent="0.25">
      <c r="A204" s="1"/>
      <c r="B204" s="58" t="s">
        <v>138</v>
      </c>
      <c r="C204" s="15">
        <f t="shared" ref="C204:I204" si="10">SUM(C154:C203)</f>
        <v>61453648</v>
      </c>
      <c r="D204" s="15">
        <f t="shared" si="10"/>
        <v>647000</v>
      </c>
      <c r="E204" s="15">
        <f t="shared" si="10"/>
        <v>480000</v>
      </c>
      <c r="F204" s="15">
        <f t="shared" si="10"/>
        <v>90000</v>
      </c>
      <c r="G204" s="15">
        <f t="shared" si="10"/>
        <v>713000</v>
      </c>
      <c r="H204" s="15">
        <f t="shared" si="10"/>
        <v>797000</v>
      </c>
      <c r="I204" s="15">
        <f t="shared" si="10"/>
        <v>784000</v>
      </c>
      <c r="J204" s="15">
        <f>SUM(C204:I204)</f>
        <v>64964648</v>
      </c>
    </row>
    <row r="212" spans="2:10" x14ac:dyDescent="0.25">
      <c r="E212" s="26"/>
    </row>
    <row r="214" spans="2:10" x14ac:dyDescent="0.25">
      <c r="J214" s="26"/>
    </row>
    <row r="223" spans="2:10" ht="18.75" x14ac:dyDescent="0.3">
      <c r="B223" s="5" t="s">
        <v>80</v>
      </c>
    </row>
    <row r="224" spans="2:10" ht="18.75" x14ac:dyDescent="0.3">
      <c r="B224" s="5" t="s">
        <v>64</v>
      </c>
    </row>
    <row r="225" spans="1:5" ht="18.75" x14ac:dyDescent="0.3">
      <c r="B225" s="5" t="s">
        <v>243</v>
      </c>
    </row>
    <row r="226" spans="1:5" ht="18.75" x14ac:dyDescent="0.3">
      <c r="B226" s="5" t="s">
        <v>457</v>
      </c>
    </row>
    <row r="228" spans="1:5" x14ac:dyDescent="0.25">
      <c r="A228" s="3" t="s">
        <v>244</v>
      </c>
      <c r="B228" s="3" t="s">
        <v>245</v>
      </c>
      <c r="C228" s="126" t="s">
        <v>249</v>
      </c>
    </row>
    <row r="229" spans="1:5" x14ac:dyDescent="0.25">
      <c r="A229" s="1">
        <v>1</v>
      </c>
      <c r="B229" s="66" t="s">
        <v>22</v>
      </c>
      <c r="C229" s="97">
        <v>19400000</v>
      </c>
    </row>
    <row r="230" spans="1:5" x14ac:dyDescent="0.25">
      <c r="A230" s="1">
        <v>2</v>
      </c>
      <c r="B230" s="66" t="s">
        <v>246</v>
      </c>
      <c r="C230" s="97">
        <v>64964648</v>
      </c>
    </row>
    <row r="231" spans="1:5" x14ac:dyDescent="0.25">
      <c r="A231" s="1">
        <v>3</v>
      </c>
      <c r="B231" s="66" t="s">
        <v>396</v>
      </c>
      <c r="C231" s="98">
        <v>0</v>
      </c>
    </row>
    <row r="232" spans="1:5" x14ac:dyDescent="0.25">
      <c r="A232" s="1"/>
      <c r="B232" s="66" t="s">
        <v>397</v>
      </c>
      <c r="C232" s="98">
        <v>30000</v>
      </c>
    </row>
    <row r="233" spans="1:5" x14ac:dyDescent="0.25">
      <c r="A233" s="1"/>
      <c r="B233" s="66" t="s">
        <v>398</v>
      </c>
      <c r="C233" s="98">
        <v>596500</v>
      </c>
    </row>
    <row r="234" spans="1:5" x14ac:dyDescent="0.25">
      <c r="A234" s="1"/>
      <c r="B234" s="66" t="s">
        <v>427</v>
      </c>
      <c r="C234" s="98">
        <v>200000</v>
      </c>
    </row>
    <row r="235" spans="1:5" x14ac:dyDescent="0.25">
      <c r="A235" s="1">
        <v>4</v>
      </c>
      <c r="B235" s="1" t="s">
        <v>255</v>
      </c>
      <c r="C235" s="88">
        <v>714930</v>
      </c>
    </row>
    <row r="236" spans="1:5" x14ac:dyDescent="0.25">
      <c r="A236" s="1">
        <v>5</v>
      </c>
      <c r="B236" s="1" t="s">
        <v>387</v>
      </c>
      <c r="C236" s="88">
        <v>4550</v>
      </c>
    </row>
    <row r="237" spans="1:5" ht="18.75" x14ac:dyDescent="0.3">
      <c r="A237" s="1"/>
      <c r="B237" s="73" t="s">
        <v>248</v>
      </c>
      <c r="C237" s="89">
        <f>SUM(C229:C236)</f>
        <v>85910628</v>
      </c>
      <c r="D237" s="12"/>
      <c r="E237" s="118"/>
    </row>
    <row r="238" spans="1:5" ht="18.75" x14ac:dyDescent="0.3">
      <c r="B238" s="5"/>
      <c r="C238" s="26"/>
    </row>
    <row r="239" spans="1:5" ht="18.75" x14ac:dyDescent="0.3">
      <c r="A239" s="3" t="s">
        <v>250</v>
      </c>
      <c r="B239" s="73" t="s">
        <v>251</v>
      </c>
      <c r="C239" s="126" t="s">
        <v>249</v>
      </c>
    </row>
    <row r="240" spans="1:5" x14ac:dyDescent="0.25">
      <c r="A240" s="1">
        <v>1</v>
      </c>
      <c r="B240" s="66" t="s">
        <v>252</v>
      </c>
      <c r="C240" s="87">
        <v>20000000</v>
      </c>
    </row>
    <row r="241" spans="1:9" x14ac:dyDescent="0.25">
      <c r="A241" s="1">
        <v>2</v>
      </c>
      <c r="B241" s="66" t="s">
        <v>253</v>
      </c>
      <c r="C241" s="88">
        <v>60216469</v>
      </c>
    </row>
    <row r="242" spans="1:9" x14ac:dyDescent="0.25">
      <c r="A242" s="1">
        <v>3</v>
      </c>
      <c r="B242" s="66" t="s">
        <v>254</v>
      </c>
      <c r="C242" s="88">
        <v>525829</v>
      </c>
    </row>
    <row r="243" spans="1:9" x14ac:dyDescent="0.25">
      <c r="A243" s="1">
        <v>4</v>
      </c>
      <c r="B243" s="1" t="s">
        <v>296</v>
      </c>
      <c r="C243" s="88">
        <v>3950000</v>
      </c>
    </row>
    <row r="244" spans="1:9" x14ac:dyDescent="0.25">
      <c r="A244" s="1">
        <v>5</v>
      </c>
      <c r="B244" s="1" t="s">
        <v>400</v>
      </c>
      <c r="C244" s="88">
        <v>0</v>
      </c>
    </row>
    <row r="245" spans="1:9" x14ac:dyDescent="0.25">
      <c r="A245" s="1"/>
      <c r="B245" s="1" t="s">
        <v>310</v>
      </c>
      <c r="C245" s="88">
        <v>0</v>
      </c>
    </row>
    <row r="246" spans="1:9" x14ac:dyDescent="0.25">
      <c r="A246" s="1"/>
      <c r="B246" s="1" t="s">
        <v>297</v>
      </c>
      <c r="C246" s="88">
        <v>1218330</v>
      </c>
    </row>
    <row r="247" spans="1:9" ht="18.75" x14ac:dyDescent="0.3">
      <c r="A247" s="1"/>
      <c r="B247" s="73" t="s">
        <v>248</v>
      </c>
      <c r="C247" s="89">
        <f>SUM(C240:C246)</f>
        <v>85910628</v>
      </c>
    </row>
    <row r="249" spans="1:9" ht="15.75" thickBot="1" x14ac:dyDescent="0.3"/>
    <row r="250" spans="1:9" x14ac:dyDescent="0.25">
      <c r="B250" s="31" t="s">
        <v>343</v>
      </c>
      <c r="C250" s="102"/>
      <c r="D250" s="102"/>
      <c r="E250" s="108">
        <v>20000000</v>
      </c>
    </row>
    <row r="251" spans="1:9" x14ac:dyDescent="0.25">
      <c r="B251" s="103" t="s">
        <v>341</v>
      </c>
      <c r="C251" s="22"/>
      <c r="D251" s="22"/>
      <c r="E251" s="109">
        <v>500000</v>
      </c>
    </row>
    <row r="252" spans="1:9" ht="15.75" thickBot="1" x14ac:dyDescent="0.3">
      <c r="B252" s="106" t="s">
        <v>342</v>
      </c>
      <c r="C252" s="107"/>
      <c r="D252" s="107"/>
      <c r="E252" s="110">
        <v>100000</v>
      </c>
      <c r="I252" s="101"/>
    </row>
    <row r="253" spans="1:9" ht="15.75" thickBot="1" x14ac:dyDescent="0.3">
      <c r="A253" s="22"/>
      <c r="B253" s="104" t="s">
        <v>344</v>
      </c>
      <c r="C253" s="105"/>
      <c r="D253" s="105"/>
      <c r="E253" s="111">
        <v>19400000</v>
      </c>
    </row>
    <row r="261" spans="1:7" ht="18.75" x14ac:dyDescent="0.3">
      <c r="B261" s="5" t="s">
        <v>80</v>
      </c>
    </row>
    <row r="262" spans="1:7" ht="18.75" x14ac:dyDescent="0.3">
      <c r="B262" s="5" t="s">
        <v>64</v>
      </c>
    </row>
    <row r="263" spans="1:7" x14ac:dyDescent="0.25">
      <c r="B263" t="s">
        <v>457</v>
      </c>
    </row>
    <row r="264" spans="1:7" ht="15.75" x14ac:dyDescent="0.25">
      <c r="A264" s="9" t="s">
        <v>156</v>
      </c>
      <c r="B264" s="8" t="s">
        <v>139</v>
      </c>
      <c r="C264" s="9" t="s">
        <v>140</v>
      </c>
      <c r="D264" s="9" t="s">
        <v>152</v>
      </c>
      <c r="E264" s="9" t="s">
        <v>141</v>
      </c>
      <c r="F264" s="66" t="s">
        <v>142</v>
      </c>
      <c r="G264" s="17" t="s">
        <v>425</v>
      </c>
    </row>
    <row r="265" spans="1:7" ht="15.75" x14ac:dyDescent="0.25">
      <c r="A265" s="9"/>
      <c r="B265" s="8" t="s">
        <v>436</v>
      </c>
      <c r="C265" s="56">
        <v>150028</v>
      </c>
      <c r="D265" s="56">
        <v>539370</v>
      </c>
      <c r="E265" s="56">
        <v>35760</v>
      </c>
      <c r="F265" s="56">
        <v>95453</v>
      </c>
      <c r="G265" s="1">
        <v>42000</v>
      </c>
    </row>
    <row r="266" spans="1:7" ht="15.75" x14ac:dyDescent="0.25">
      <c r="A266" s="9">
        <v>1</v>
      </c>
      <c r="B266" s="9" t="s">
        <v>437</v>
      </c>
      <c r="C266" s="56">
        <v>0</v>
      </c>
      <c r="D266" s="56">
        <v>0</v>
      </c>
      <c r="E266" s="56">
        <v>0</v>
      </c>
      <c r="F266" s="56">
        <v>20</v>
      </c>
      <c r="G266" s="1">
        <v>0</v>
      </c>
    </row>
    <row r="267" spans="1:7" ht="15.75" x14ac:dyDescent="0.25">
      <c r="A267" s="9">
        <v>2</v>
      </c>
      <c r="B267" s="9" t="s">
        <v>438</v>
      </c>
      <c r="C267" s="56">
        <v>0</v>
      </c>
      <c r="D267" s="56">
        <v>0</v>
      </c>
      <c r="E267" s="56">
        <v>14560</v>
      </c>
      <c r="F267" s="56">
        <v>0</v>
      </c>
      <c r="G267" s="1">
        <v>0</v>
      </c>
    </row>
    <row r="268" spans="1:7" ht="15.75" x14ac:dyDescent="0.25">
      <c r="A268" s="9">
        <v>3</v>
      </c>
      <c r="B268" s="9" t="s">
        <v>439</v>
      </c>
      <c r="C268" s="56">
        <v>0</v>
      </c>
      <c r="D268" s="56">
        <v>0</v>
      </c>
      <c r="E268" s="56">
        <v>0</v>
      </c>
      <c r="F268" s="56">
        <v>0</v>
      </c>
      <c r="G268" s="1">
        <v>0</v>
      </c>
    </row>
    <row r="269" spans="1:7" ht="15.75" x14ac:dyDescent="0.25">
      <c r="A269" s="9">
        <v>4</v>
      </c>
      <c r="B269" s="9" t="s">
        <v>440</v>
      </c>
      <c r="C269" s="56">
        <v>0</v>
      </c>
      <c r="D269" s="56">
        <v>0</v>
      </c>
      <c r="E269" s="56">
        <v>0</v>
      </c>
      <c r="F269" s="56">
        <v>10</v>
      </c>
      <c r="G269" s="1">
        <v>0</v>
      </c>
    </row>
    <row r="270" spans="1:7" ht="15.75" x14ac:dyDescent="0.25">
      <c r="A270" s="9">
        <v>5</v>
      </c>
      <c r="B270" s="9" t="s">
        <v>441</v>
      </c>
      <c r="C270" s="56">
        <v>0</v>
      </c>
      <c r="D270" s="56"/>
      <c r="E270" s="56">
        <v>29500</v>
      </c>
      <c r="F270" s="56">
        <v>230</v>
      </c>
      <c r="G270" s="1">
        <v>0</v>
      </c>
    </row>
    <row r="271" spans="1:7" ht="15.75" x14ac:dyDescent="0.25">
      <c r="A271" s="8">
        <v>6</v>
      </c>
      <c r="B271" s="8" t="s">
        <v>442</v>
      </c>
      <c r="C271" s="57"/>
      <c r="D271" s="1"/>
      <c r="E271" s="1">
        <v>0</v>
      </c>
      <c r="F271" s="1">
        <v>575</v>
      </c>
      <c r="G271" s="1">
        <v>0</v>
      </c>
    </row>
    <row r="272" spans="1:7" ht="15.75" x14ac:dyDescent="0.25">
      <c r="A272" s="9">
        <v>7</v>
      </c>
      <c r="B272" s="9" t="s">
        <v>443</v>
      </c>
      <c r="C272" s="56">
        <v>0</v>
      </c>
      <c r="D272" s="56">
        <v>0</v>
      </c>
      <c r="E272" s="56">
        <v>0</v>
      </c>
      <c r="F272" s="56"/>
      <c r="G272" s="1">
        <v>0</v>
      </c>
    </row>
    <row r="273" spans="1:7" ht="15.75" x14ac:dyDescent="0.25">
      <c r="A273" s="9">
        <v>8</v>
      </c>
      <c r="B273" s="9" t="s">
        <v>444</v>
      </c>
      <c r="C273" s="56">
        <v>0</v>
      </c>
      <c r="D273" s="56">
        <v>0</v>
      </c>
      <c r="E273" s="56">
        <v>0</v>
      </c>
      <c r="F273" s="56"/>
      <c r="G273" s="1">
        <v>0</v>
      </c>
    </row>
    <row r="274" spans="1:7" ht="15.75" x14ac:dyDescent="0.25">
      <c r="A274" s="9">
        <v>9</v>
      </c>
      <c r="B274" s="9" t="s">
        <v>445</v>
      </c>
      <c r="C274" s="56">
        <v>0</v>
      </c>
      <c r="D274" s="56">
        <v>0</v>
      </c>
      <c r="E274" s="56">
        <v>0</v>
      </c>
      <c r="F274" s="56"/>
      <c r="G274" s="1">
        <v>0</v>
      </c>
    </row>
    <row r="275" spans="1:7" ht="15.75" x14ac:dyDescent="0.25">
      <c r="A275" s="9">
        <v>10</v>
      </c>
      <c r="B275" s="9" t="s">
        <v>446</v>
      </c>
      <c r="C275" s="56">
        <v>0</v>
      </c>
      <c r="D275" s="56">
        <v>0</v>
      </c>
      <c r="E275" s="56">
        <v>0</v>
      </c>
      <c r="F275" s="56"/>
      <c r="G275" s="1">
        <v>0</v>
      </c>
    </row>
    <row r="276" spans="1:7" ht="15.75" x14ac:dyDescent="0.25">
      <c r="A276" s="9">
        <v>11</v>
      </c>
      <c r="B276" s="9" t="s">
        <v>447</v>
      </c>
      <c r="C276" s="56">
        <v>0</v>
      </c>
      <c r="D276" s="56">
        <v>0</v>
      </c>
      <c r="E276" s="56">
        <v>0</v>
      </c>
      <c r="F276" s="56"/>
      <c r="G276" s="1"/>
    </row>
    <row r="277" spans="1:7" ht="15.75" x14ac:dyDescent="0.25">
      <c r="A277" s="9">
        <v>12</v>
      </c>
      <c r="B277" s="66" t="s">
        <v>448</v>
      </c>
      <c r="C277" s="56"/>
      <c r="D277" s="56">
        <v>0</v>
      </c>
      <c r="E277" s="56">
        <v>0</v>
      </c>
      <c r="F277" s="56"/>
      <c r="G277" s="1"/>
    </row>
    <row r="278" spans="1:7" ht="15.75" x14ac:dyDescent="0.25">
      <c r="A278" s="9"/>
      <c r="B278" s="55" t="s">
        <v>138</v>
      </c>
      <c r="C278" s="57">
        <f>SUM(C265:C277)</f>
        <v>150028</v>
      </c>
      <c r="D278" s="57">
        <f>SUM(D265:D277)</f>
        <v>539370</v>
      </c>
      <c r="E278" s="57">
        <f>SUM(E265:E277)</f>
        <v>79820</v>
      </c>
      <c r="F278" s="57">
        <f>SUM(F265:F277)</f>
        <v>96288</v>
      </c>
      <c r="G278" s="57">
        <f>SUM(G265:G277)</f>
        <v>42000</v>
      </c>
    </row>
    <row r="279" spans="1:7" ht="15.75" thickBot="1" x14ac:dyDescent="0.3"/>
    <row r="280" spans="1:7" ht="16.5" thickBot="1" x14ac:dyDescent="0.3">
      <c r="D280" s="12" t="s">
        <v>203</v>
      </c>
      <c r="E280" s="12"/>
      <c r="F280" s="65">
        <f>SUM(C278+D278+E278+G278)-(F278)</f>
        <v>714930</v>
      </c>
    </row>
    <row r="296" spans="1:10" ht="18.75" x14ac:dyDescent="0.3">
      <c r="B296" s="5" t="s">
        <v>80</v>
      </c>
    </row>
    <row r="297" spans="1:10" ht="18.75" x14ac:dyDescent="0.3">
      <c r="B297" s="5" t="s">
        <v>64</v>
      </c>
    </row>
    <row r="298" spans="1:10" x14ac:dyDescent="0.25">
      <c r="B298" t="s">
        <v>385</v>
      </c>
    </row>
    <row r="299" spans="1:10" x14ac:dyDescent="0.25">
      <c r="A299" s="3" t="s">
        <v>163</v>
      </c>
      <c r="B299" s="3" t="s">
        <v>164</v>
      </c>
      <c r="C299" s="59" t="s">
        <v>435</v>
      </c>
      <c r="D299" s="13">
        <v>44197</v>
      </c>
      <c r="E299" s="13">
        <v>44228</v>
      </c>
      <c r="F299" s="13">
        <v>44256</v>
      </c>
      <c r="G299" s="13">
        <v>44287</v>
      </c>
      <c r="H299" s="13">
        <v>44317</v>
      </c>
      <c r="I299" s="13">
        <v>44348</v>
      </c>
      <c r="J299" s="1" t="s">
        <v>81</v>
      </c>
    </row>
    <row r="300" spans="1:10" x14ac:dyDescent="0.25">
      <c r="A300" s="1">
        <v>1</v>
      </c>
      <c r="B300" s="1" t="s">
        <v>386</v>
      </c>
      <c r="C300" s="27">
        <v>4550</v>
      </c>
      <c r="D300" s="27">
        <v>0</v>
      </c>
      <c r="E300" s="27">
        <v>0</v>
      </c>
      <c r="F300" s="27">
        <v>0</v>
      </c>
      <c r="G300" s="27">
        <v>0</v>
      </c>
      <c r="H300" s="38"/>
      <c r="I300" s="38"/>
      <c r="J300" s="72">
        <f>SUM(C300:I300)</f>
        <v>4550</v>
      </c>
    </row>
    <row r="301" spans="1:10" x14ac:dyDescent="0.25">
      <c r="A301" s="1">
        <v>2</v>
      </c>
      <c r="B301" s="1"/>
      <c r="C301" s="27">
        <v>0</v>
      </c>
      <c r="D301" s="27">
        <v>0</v>
      </c>
      <c r="E301" s="27">
        <v>0</v>
      </c>
      <c r="F301" s="27"/>
      <c r="G301" s="27"/>
      <c r="H301" s="38"/>
      <c r="I301" s="38"/>
      <c r="J301" s="72">
        <f t="shared" ref="J301:J302" si="11">SUM(C301:I301)</f>
        <v>0</v>
      </c>
    </row>
    <row r="302" spans="1:10" x14ac:dyDescent="0.25">
      <c r="A302" s="1">
        <v>3</v>
      </c>
      <c r="B302" s="1"/>
      <c r="C302" s="27">
        <v>0</v>
      </c>
      <c r="D302" s="27">
        <v>0</v>
      </c>
      <c r="E302" s="27">
        <v>0</v>
      </c>
      <c r="F302" s="27">
        <v>0</v>
      </c>
      <c r="G302" s="27"/>
      <c r="H302" s="38"/>
      <c r="I302" s="38"/>
      <c r="J302" s="72">
        <f t="shared" si="11"/>
        <v>0</v>
      </c>
    </row>
  </sheetData>
  <pageMargins left="0.7" right="0.7" top="0.75" bottom="0.75" header="0.3" footer="0.3"/>
  <pageSetup paperSize="9" scale="88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2"/>
  <sheetViews>
    <sheetView topLeftCell="A91" workbookViewId="0">
      <selection activeCell="F233" sqref="F233"/>
    </sheetView>
  </sheetViews>
  <sheetFormatPr defaultRowHeight="15" x14ac:dyDescent="0.25"/>
  <cols>
    <col min="1" max="1" width="4.28515625" customWidth="1"/>
    <col min="2" max="2" width="39.42578125" customWidth="1"/>
    <col min="3" max="3" width="17.28515625" customWidth="1"/>
    <col min="4" max="4" width="10.42578125" customWidth="1"/>
    <col min="5" max="5" width="11.42578125" customWidth="1"/>
    <col min="6" max="6" width="10.28515625" customWidth="1"/>
    <col min="7" max="7" width="10.5703125" customWidth="1"/>
    <col min="8" max="8" width="11.28515625" customWidth="1"/>
    <col min="9" max="9" width="10.28515625" customWidth="1"/>
    <col min="10" max="10" width="14.7109375" customWidth="1"/>
  </cols>
  <sheetData>
    <row r="1" spans="1:10" ht="13.5" customHeight="1" x14ac:dyDescent="0.25">
      <c r="A1" s="94"/>
      <c r="B1" s="54" t="s">
        <v>80</v>
      </c>
      <c r="C1" s="54"/>
      <c r="D1" s="54"/>
      <c r="E1" s="94"/>
      <c r="F1" s="94"/>
      <c r="G1" s="94"/>
      <c r="H1" s="94"/>
      <c r="I1" s="94"/>
      <c r="J1" s="94"/>
    </row>
    <row r="2" spans="1:10" ht="12.75" customHeight="1" x14ac:dyDescent="0.25">
      <c r="A2" s="94"/>
      <c r="B2" s="54" t="s">
        <v>64</v>
      </c>
      <c r="C2" s="54"/>
      <c r="D2" s="54"/>
      <c r="E2" s="94"/>
      <c r="F2" s="94"/>
      <c r="G2" s="94"/>
      <c r="H2" s="94"/>
      <c r="I2" s="94"/>
      <c r="J2" s="94"/>
    </row>
    <row r="3" spans="1:10" ht="12" customHeight="1" x14ac:dyDescent="0.25">
      <c r="A3" s="94"/>
      <c r="B3" s="54" t="s">
        <v>460</v>
      </c>
      <c r="C3" s="54"/>
      <c r="D3" s="54"/>
      <c r="E3" s="94"/>
      <c r="F3" s="94"/>
      <c r="G3" s="94"/>
      <c r="H3" s="94"/>
      <c r="I3" s="94"/>
      <c r="J3" s="94"/>
    </row>
    <row r="4" spans="1:10" ht="15.75" x14ac:dyDescent="0.25">
      <c r="A4" s="1" t="s">
        <v>21</v>
      </c>
      <c r="B4" s="8" t="s">
        <v>6</v>
      </c>
      <c r="C4" s="59" t="s">
        <v>459</v>
      </c>
      <c r="D4" s="13">
        <v>44378</v>
      </c>
      <c r="E4" s="13">
        <v>44409</v>
      </c>
      <c r="F4" s="13">
        <v>44440</v>
      </c>
      <c r="G4" s="13">
        <v>44470</v>
      </c>
      <c r="H4" s="13">
        <v>44501</v>
      </c>
      <c r="I4" s="13">
        <v>44531</v>
      </c>
      <c r="J4" s="1" t="s">
        <v>81</v>
      </c>
    </row>
    <row r="5" spans="1:10" x14ac:dyDescent="0.25">
      <c r="A5" s="1">
        <v>1</v>
      </c>
      <c r="B5" s="1" t="s">
        <v>83</v>
      </c>
      <c r="C5" s="27">
        <v>16100</v>
      </c>
      <c r="D5" s="27">
        <v>0</v>
      </c>
      <c r="E5" s="27">
        <v>0</v>
      </c>
      <c r="F5" s="38">
        <v>0</v>
      </c>
      <c r="G5" s="38">
        <v>0</v>
      </c>
      <c r="H5" s="38">
        <v>0</v>
      </c>
      <c r="I5" s="38">
        <v>0</v>
      </c>
      <c r="J5" s="27">
        <f t="shared" ref="J5:J37" si="0">SUM(C5:I5)</f>
        <v>16100</v>
      </c>
    </row>
    <row r="6" spans="1:10" ht="15.75" x14ac:dyDescent="0.25">
      <c r="A6" s="1">
        <v>2</v>
      </c>
      <c r="B6" s="17" t="s">
        <v>95</v>
      </c>
      <c r="C6" s="68">
        <v>852900</v>
      </c>
      <c r="D6" s="27">
        <v>0</v>
      </c>
      <c r="E6" s="27">
        <v>0</v>
      </c>
      <c r="F6" s="38">
        <v>0</v>
      </c>
      <c r="G6" s="38">
        <v>0</v>
      </c>
      <c r="H6" s="38">
        <v>0</v>
      </c>
      <c r="I6" s="38">
        <v>0</v>
      </c>
      <c r="J6" s="27">
        <f t="shared" si="0"/>
        <v>852900</v>
      </c>
    </row>
    <row r="7" spans="1:10" x14ac:dyDescent="0.25">
      <c r="A7" s="1">
        <v>3</v>
      </c>
      <c r="B7" s="1" t="s">
        <v>82</v>
      </c>
      <c r="C7" s="27">
        <v>115500</v>
      </c>
      <c r="D7" s="27">
        <v>0</v>
      </c>
      <c r="E7" s="27">
        <v>0</v>
      </c>
      <c r="F7" s="38">
        <v>0</v>
      </c>
      <c r="G7" s="38">
        <v>0</v>
      </c>
      <c r="H7" s="38">
        <v>0</v>
      </c>
      <c r="I7" s="38">
        <v>0</v>
      </c>
      <c r="J7" s="27">
        <f t="shared" si="0"/>
        <v>115500</v>
      </c>
    </row>
    <row r="8" spans="1:10" x14ac:dyDescent="0.25">
      <c r="A8" s="1">
        <v>4</v>
      </c>
      <c r="B8" s="1" t="s">
        <v>107</v>
      </c>
      <c r="C8" s="27">
        <v>320120</v>
      </c>
      <c r="D8" s="27">
        <v>0</v>
      </c>
      <c r="E8" s="27">
        <v>0</v>
      </c>
      <c r="F8" s="38">
        <v>0</v>
      </c>
      <c r="G8" s="38">
        <v>0</v>
      </c>
      <c r="H8" s="38">
        <v>0</v>
      </c>
      <c r="I8" s="38">
        <v>0</v>
      </c>
      <c r="J8" s="27">
        <f t="shared" si="0"/>
        <v>320120</v>
      </c>
    </row>
    <row r="9" spans="1:10" x14ac:dyDescent="0.25">
      <c r="A9" s="1">
        <v>5</v>
      </c>
      <c r="B9" s="1" t="s">
        <v>123</v>
      </c>
      <c r="C9" s="27">
        <v>571500</v>
      </c>
      <c r="D9" s="27">
        <v>0</v>
      </c>
      <c r="E9" s="27">
        <v>0</v>
      </c>
      <c r="F9" s="38">
        <v>0</v>
      </c>
      <c r="G9" s="38">
        <v>0</v>
      </c>
      <c r="H9" s="38">
        <v>0</v>
      </c>
      <c r="I9" s="38">
        <v>0</v>
      </c>
      <c r="J9" s="27">
        <f t="shared" si="0"/>
        <v>571500</v>
      </c>
    </row>
    <row r="10" spans="1:10" x14ac:dyDescent="0.25">
      <c r="A10" s="1">
        <v>6</v>
      </c>
      <c r="B10" s="1" t="s">
        <v>381</v>
      </c>
      <c r="C10" s="27">
        <v>266500</v>
      </c>
      <c r="D10" s="27">
        <v>0</v>
      </c>
      <c r="E10" s="27">
        <v>0</v>
      </c>
      <c r="F10" s="38">
        <v>0</v>
      </c>
      <c r="G10" s="38">
        <v>0</v>
      </c>
      <c r="H10" s="38">
        <v>0</v>
      </c>
      <c r="I10" s="38">
        <v>0</v>
      </c>
      <c r="J10" s="27">
        <f t="shared" si="0"/>
        <v>266500</v>
      </c>
    </row>
    <row r="11" spans="1:10" x14ac:dyDescent="0.25">
      <c r="A11" s="1">
        <v>7</v>
      </c>
      <c r="B11" s="1" t="s">
        <v>84</v>
      </c>
      <c r="C11" s="27">
        <v>154708</v>
      </c>
      <c r="D11" s="27">
        <v>0</v>
      </c>
      <c r="E11" s="27">
        <v>0</v>
      </c>
      <c r="F11" s="38">
        <v>0</v>
      </c>
      <c r="G11" s="38">
        <v>0</v>
      </c>
      <c r="H11" s="38">
        <v>0</v>
      </c>
      <c r="I11" s="38">
        <v>0</v>
      </c>
      <c r="J11" s="27">
        <f t="shared" si="0"/>
        <v>154708</v>
      </c>
    </row>
    <row r="12" spans="1:10" x14ac:dyDescent="0.25">
      <c r="A12" s="1">
        <v>8</v>
      </c>
      <c r="B12" s="1" t="s">
        <v>109</v>
      </c>
      <c r="C12" s="27">
        <v>13816926</v>
      </c>
      <c r="D12" s="27">
        <v>0</v>
      </c>
      <c r="E12" s="27">
        <v>1094</v>
      </c>
      <c r="F12" s="27"/>
      <c r="G12" s="27"/>
      <c r="H12" s="27"/>
      <c r="I12" s="27"/>
      <c r="J12" s="27">
        <f t="shared" si="0"/>
        <v>13818020</v>
      </c>
    </row>
    <row r="13" spans="1:10" x14ac:dyDescent="0.25">
      <c r="A13" s="1">
        <v>9</v>
      </c>
      <c r="B13" s="1" t="s">
        <v>37</v>
      </c>
      <c r="C13" s="27">
        <v>6265550</v>
      </c>
      <c r="D13" s="27">
        <v>118100</v>
      </c>
      <c r="E13" s="27"/>
      <c r="F13" s="27"/>
      <c r="G13" s="27"/>
      <c r="H13" s="27"/>
      <c r="I13" s="27"/>
      <c r="J13" s="27">
        <f t="shared" si="0"/>
        <v>6383650</v>
      </c>
    </row>
    <row r="14" spans="1:10" x14ac:dyDescent="0.25">
      <c r="A14" s="1">
        <v>10</v>
      </c>
      <c r="B14" s="1" t="s">
        <v>111</v>
      </c>
      <c r="C14" s="27">
        <v>4952683</v>
      </c>
      <c r="D14" s="27">
        <v>0</v>
      </c>
      <c r="E14" s="27">
        <v>0</v>
      </c>
      <c r="F14" s="27">
        <v>0</v>
      </c>
      <c r="G14" s="27">
        <v>0</v>
      </c>
      <c r="H14" s="27">
        <v>0</v>
      </c>
      <c r="I14" s="27">
        <v>0</v>
      </c>
      <c r="J14" s="27">
        <f t="shared" si="0"/>
        <v>4952683</v>
      </c>
    </row>
    <row r="15" spans="1:10" x14ac:dyDescent="0.25">
      <c r="A15" s="1">
        <v>11</v>
      </c>
      <c r="B15" s="1" t="s">
        <v>96</v>
      </c>
      <c r="C15" s="27">
        <v>1834050</v>
      </c>
      <c r="D15" s="27">
        <v>26000</v>
      </c>
      <c r="E15" s="27"/>
      <c r="F15" s="27"/>
      <c r="G15" s="27"/>
      <c r="H15" s="27"/>
      <c r="I15" s="27"/>
      <c r="J15" s="27">
        <f t="shared" si="0"/>
        <v>1860050</v>
      </c>
    </row>
    <row r="16" spans="1:10" x14ac:dyDescent="0.25">
      <c r="A16" s="1">
        <v>12</v>
      </c>
      <c r="B16" s="1" t="s">
        <v>217</v>
      </c>
      <c r="C16" s="27">
        <v>793115</v>
      </c>
      <c r="D16" s="27"/>
      <c r="E16" s="27"/>
      <c r="F16" s="27"/>
      <c r="G16" s="27"/>
      <c r="H16" s="27"/>
      <c r="I16" s="27"/>
      <c r="J16" s="27">
        <f t="shared" si="0"/>
        <v>793115</v>
      </c>
    </row>
    <row r="17" spans="1:10" x14ac:dyDescent="0.25">
      <c r="A17" s="1">
        <v>13</v>
      </c>
      <c r="B17" s="1" t="s">
        <v>336</v>
      </c>
      <c r="C17" s="27">
        <v>192980</v>
      </c>
      <c r="D17" s="27">
        <v>0</v>
      </c>
      <c r="E17" s="27">
        <v>0</v>
      </c>
      <c r="F17" s="27">
        <v>0</v>
      </c>
      <c r="G17" s="27">
        <v>0</v>
      </c>
      <c r="H17" s="27">
        <v>0</v>
      </c>
      <c r="I17" s="27">
        <v>0</v>
      </c>
      <c r="J17" s="27">
        <f t="shared" si="0"/>
        <v>192980</v>
      </c>
    </row>
    <row r="18" spans="1:10" x14ac:dyDescent="0.25">
      <c r="A18" s="1">
        <v>14</v>
      </c>
      <c r="B18" s="1" t="s">
        <v>108</v>
      </c>
      <c r="C18" s="27">
        <v>257254</v>
      </c>
      <c r="D18" s="27">
        <v>0</v>
      </c>
      <c r="E18" s="27">
        <v>0</v>
      </c>
      <c r="F18" s="27">
        <v>0</v>
      </c>
      <c r="G18" s="27">
        <v>0</v>
      </c>
      <c r="H18" s="27">
        <v>0</v>
      </c>
      <c r="I18" s="27">
        <v>0</v>
      </c>
      <c r="J18" s="27">
        <f t="shared" si="0"/>
        <v>257254</v>
      </c>
    </row>
    <row r="19" spans="1:10" x14ac:dyDescent="0.25">
      <c r="A19" s="1">
        <v>15</v>
      </c>
      <c r="B19" s="1" t="s">
        <v>119</v>
      </c>
      <c r="C19" s="27">
        <v>882559</v>
      </c>
      <c r="D19" s="27">
        <v>21030</v>
      </c>
      <c r="E19" s="27">
        <v>29040</v>
      </c>
      <c r="F19" s="27"/>
      <c r="G19" s="27"/>
      <c r="H19" s="27"/>
      <c r="I19" s="27"/>
      <c r="J19" s="27">
        <f t="shared" si="0"/>
        <v>932629</v>
      </c>
    </row>
    <row r="20" spans="1:10" x14ac:dyDescent="0.25">
      <c r="A20" s="1">
        <v>16</v>
      </c>
      <c r="B20" s="1" t="s">
        <v>331</v>
      </c>
      <c r="C20" s="27">
        <v>676220</v>
      </c>
      <c r="D20" s="27">
        <v>0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f t="shared" si="0"/>
        <v>676220</v>
      </c>
    </row>
    <row r="21" spans="1:10" x14ac:dyDescent="0.25">
      <c r="A21" s="1">
        <v>17</v>
      </c>
      <c r="B21" s="1" t="s">
        <v>88</v>
      </c>
      <c r="C21" s="27">
        <v>169309</v>
      </c>
      <c r="D21" s="27">
        <v>0</v>
      </c>
      <c r="E21" s="27">
        <v>0</v>
      </c>
      <c r="F21" s="27">
        <v>0</v>
      </c>
      <c r="G21" s="27">
        <v>0</v>
      </c>
      <c r="H21" s="27">
        <v>0</v>
      </c>
      <c r="I21" s="27">
        <v>0</v>
      </c>
      <c r="J21" s="27">
        <f t="shared" si="0"/>
        <v>169309</v>
      </c>
    </row>
    <row r="22" spans="1:10" x14ac:dyDescent="0.25">
      <c r="A22" s="1">
        <v>18</v>
      </c>
      <c r="B22" s="1" t="s">
        <v>89</v>
      </c>
      <c r="C22" s="27">
        <v>107751</v>
      </c>
      <c r="D22" s="27">
        <v>0</v>
      </c>
      <c r="E22" s="27">
        <v>0</v>
      </c>
      <c r="F22" s="27">
        <v>0</v>
      </c>
      <c r="G22" s="27"/>
      <c r="H22" s="27"/>
      <c r="I22" s="27"/>
      <c r="J22" s="27">
        <f t="shared" si="0"/>
        <v>107751</v>
      </c>
    </row>
    <row r="23" spans="1:10" x14ac:dyDescent="0.25">
      <c r="A23" s="1">
        <v>19</v>
      </c>
      <c r="B23" s="1" t="s">
        <v>90</v>
      </c>
      <c r="C23" s="27">
        <v>948500</v>
      </c>
      <c r="D23" s="27">
        <v>0</v>
      </c>
      <c r="E23" s="27">
        <v>0</v>
      </c>
      <c r="F23" s="27">
        <v>0</v>
      </c>
      <c r="G23" s="27">
        <v>0</v>
      </c>
      <c r="H23" s="27">
        <v>0</v>
      </c>
      <c r="I23" s="27">
        <v>0</v>
      </c>
      <c r="J23" s="27">
        <f t="shared" si="0"/>
        <v>948500</v>
      </c>
    </row>
    <row r="24" spans="1:10" x14ac:dyDescent="0.25">
      <c r="A24" s="1">
        <v>20</v>
      </c>
      <c r="B24" s="76" t="s">
        <v>120</v>
      </c>
      <c r="C24" s="27">
        <v>80483</v>
      </c>
      <c r="D24" s="27">
        <v>0</v>
      </c>
      <c r="E24" s="27">
        <v>0</v>
      </c>
      <c r="F24" s="27">
        <v>0</v>
      </c>
      <c r="G24" s="27">
        <v>0</v>
      </c>
      <c r="H24" s="27">
        <v>0</v>
      </c>
      <c r="I24" s="27">
        <v>0</v>
      </c>
      <c r="J24" s="27">
        <f t="shared" si="0"/>
        <v>80483</v>
      </c>
    </row>
    <row r="25" spans="1:10" x14ac:dyDescent="0.25">
      <c r="A25" s="1">
        <v>21</v>
      </c>
      <c r="B25" s="1" t="s">
        <v>128</v>
      </c>
      <c r="C25" s="27">
        <v>614285</v>
      </c>
      <c r="D25" s="27">
        <f>10100+8530</f>
        <v>18630</v>
      </c>
      <c r="E25" s="27">
        <v>5630</v>
      </c>
      <c r="F25" s="27"/>
      <c r="G25" s="27"/>
      <c r="H25" s="27"/>
      <c r="I25" s="27"/>
      <c r="J25" s="27">
        <f t="shared" si="0"/>
        <v>638545</v>
      </c>
    </row>
    <row r="26" spans="1:10" x14ac:dyDescent="0.25">
      <c r="A26" s="1">
        <v>22</v>
      </c>
      <c r="B26" s="1" t="s">
        <v>127</v>
      </c>
      <c r="C26" s="27">
        <v>47500</v>
      </c>
      <c r="D26" s="27">
        <v>0</v>
      </c>
      <c r="E26" s="27">
        <v>0</v>
      </c>
      <c r="F26" s="27">
        <v>0</v>
      </c>
      <c r="G26" s="27">
        <v>0</v>
      </c>
      <c r="H26" s="27">
        <v>0</v>
      </c>
      <c r="I26" s="27">
        <v>0</v>
      </c>
      <c r="J26" s="27">
        <f t="shared" si="0"/>
        <v>47500</v>
      </c>
    </row>
    <row r="27" spans="1:10" x14ac:dyDescent="0.25">
      <c r="A27" s="1">
        <v>23</v>
      </c>
      <c r="B27" s="1" t="s">
        <v>129</v>
      </c>
      <c r="C27" s="27">
        <v>3996910</v>
      </c>
      <c r="D27" s="27"/>
      <c r="E27" s="27"/>
      <c r="F27" s="27"/>
      <c r="G27" s="27"/>
      <c r="H27" s="27">
        <v>0</v>
      </c>
      <c r="I27" s="27">
        <v>0</v>
      </c>
      <c r="J27" s="27">
        <f t="shared" si="0"/>
        <v>3996910</v>
      </c>
    </row>
    <row r="28" spans="1:10" x14ac:dyDescent="0.25">
      <c r="A28" s="1">
        <v>24</v>
      </c>
      <c r="B28" s="1" t="s">
        <v>157</v>
      </c>
      <c r="C28" s="27">
        <v>41976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f t="shared" si="0"/>
        <v>41976</v>
      </c>
    </row>
    <row r="29" spans="1:10" x14ac:dyDescent="0.25">
      <c r="A29" s="1">
        <v>25</v>
      </c>
      <c r="B29" s="1" t="s">
        <v>158</v>
      </c>
      <c r="C29" s="27">
        <v>3880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f t="shared" si="0"/>
        <v>3880</v>
      </c>
    </row>
    <row r="30" spans="1:10" x14ac:dyDescent="0.25">
      <c r="A30" s="66">
        <v>26</v>
      </c>
      <c r="B30" s="66" t="s">
        <v>209</v>
      </c>
      <c r="C30" s="27">
        <v>62573</v>
      </c>
      <c r="D30" s="27">
        <v>0</v>
      </c>
      <c r="E30" s="27">
        <v>0</v>
      </c>
      <c r="F30" s="27">
        <v>0</v>
      </c>
      <c r="G30" s="91">
        <v>0</v>
      </c>
      <c r="H30" s="91">
        <v>0</v>
      </c>
      <c r="I30" s="91">
        <v>0</v>
      </c>
      <c r="J30" s="91">
        <f t="shared" si="0"/>
        <v>62573</v>
      </c>
    </row>
    <row r="31" spans="1:10" x14ac:dyDescent="0.25">
      <c r="A31" s="66">
        <v>27</v>
      </c>
      <c r="B31" s="66" t="s">
        <v>210</v>
      </c>
      <c r="C31" s="27">
        <v>47610</v>
      </c>
      <c r="D31" s="27">
        <v>0</v>
      </c>
      <c r="E31" s="27">
        <v>0</v>
      </c>
      <c r="F31" s="27">
        <v>0</v>
      </c>
      <c r="G31" s="91">
        <v>0</v>
      </c>
      <c r="H31" s="91">
        <v>0</v>
      </c>
      <c r="I31" s="91">
        <v>0</v>
      </c>
      <c r="J31" s="91">
        <f t="shared" si="0"/>
        <v>47610</v>
      </c>
    </row>
    <row r="32" spans="1:10" x14ac:dyDescent="0.25">
      <c r="A32" s="3">
        <v>28</v>
      </c>
      <c r="B32" s="3" t="s">
        <v>130</v>
      </c>
      <c r="C32" s="28">
        <v>1812545</v>
      </c>
      <c r="D32" s="28">
        <v>0</v>
      </c>
      <c r="E32" s="28">
        <v>0</v>
      </c>
      <c r="F32" s="28">
        <v>0</v>
      </c>
      <c r="G32" s="28">
        <v>0</v>
      </c>
      <c r="H32" s="28">
        <v>0</v>
      </c>
      <c r="I32" s="28"/>
      <c r="J32" s="27">
        <f t="shared" si="0"/>
        <v>1812545</v>
      </c>
    </row>
    <row r="33" spans="1:10" x14ac:dyDescent="0.25">
      <c r="A33" s="3" t="s">
        <v>454</v>
      </c>
      <c r="B33" s="3" t="s">
        <v>306</v>
      </c>
      <c r="C33" s="28">
        <v>5137520</v>
      </c>
      <c r="D33" s="28"/>
      <c r="E33" s="28"/>
      <c r="F33" s="28"/>
      <c r="G33" s="28"/>
      <c r="H33" s="28">
        <v>0</v>
      </c>
      <c r="I33" s="28">
        <v>0</v>
      </c>
      <c r="J33" s="27">
        <f t="shared" si="0"/>
        <v>5137520</v>
      </c>
    </row>
    <row r="34" spans="1:10" x14ac:dyDescent="0.25">
      <c r="A34" s="3">
        <v>29</v>
      </c>
      <c r="B34" s="3" t="s">
        <v>452</v>
      </c>
      <c r="C34" s="28">
        <v>35971</v>
      </c>
      <c r="D34" s="28">
        <v>0</v>
      </c>
      <c r="E34" s="28"/>
      <c r="F34" s="28"/>
      <c r="G34" s="28"/>
      <c r="H34" s="28"/>
      <c r="I34" s="28"/>
      <c r="J34" s="27">
        <f t="shared" si="0"/>
        <v>35971</v>
      </c>
    </row>
    <row r="35" spans="1:10" x14ac:dyDescent="0.25">
      <c r="A35" s="3" t="s">
        <v>455</v>
      </c>
      <c r="B35" s="3" t="s">
        <v>453</v>
      </c>
      <c r="C35" s="28">
        <v>757235</v>
      </c>
      <c r="D35" s="28">
        <v>172800</v>
      </c>
      <c r="E35" s="28">
        <v>74400</v>
      </c>
      <c r="F35" s="28"/>
      <c r="G35" s="28"/>
      <c r="H35" s="28"/>
      <c r="I35" s="28"/>
      <c r="J35" s="27">
        <f t="shared" si="0"/>
        <v>1004435</v>
      </c>
    </row>
    <row r="36" spans="1:10" x14ac:dyDescent="0.25">
      <c r="A36" s="1">
        <v>30</v>
      </c>
      <c r="B36" s="1" t="s">
        <v>449</v>
      </c>
      <c r="C36" s="27">
        <v>7153139</v>
      </c>
      <c r="D36" s="27">
        <v>129750</v>
      </c>
      <c r="E36" s="27">
        <v>87000</v>
      </c>
      <c r="F36" s="27"/>
      <c r="G36" s="27"/>
      <c r="H36" s="27"/>
      <c r="I36" s="27"/>
      <c r="J36" s="27">
        <f t="shared" si="0"/>
        <v>7369889</v>
      </c>
    </row>
    <row r="37" spans="1:10" x14ac:dyDescent="0.25">
      <c r="A37" s="1">
        <v>31</v>
      </c>
      <c r="B37" s="1" t="s">
        <v>282</v>
      </c>
      <c r="C37" s="27">
        <v>35000</v>
      </c>
      <c r="D37" s="27">
        <v>0</v>
      </c>
      <c r="E37" s="27">
        <v>0</v>
      </c>
      <c r="F37" s="38">
        <v>0</v>
      </c>
      <c r="G37" s="27">
        <v>0</v>
      </c>
      <c r="H37" s="27">
        <v>0</v>
      </c>
      <c r="I37" s="27">
        <v>0</v>
      </c>
      <c r="J37" s="27">
        <f t="shared" si="0"/>
        <v>35000</v>
      </c>
    </row>
    <row r="38" spans="1:10" x14ac:dyDescent="0.25">
      <c r="A38" s="1"/>
      <c r="B38" s="3" t="s">
        <v>93</v>
      </c>
      <c r="C38" s="28">
        <f t="shared" ref="C38:J38" si="1">SUM(C5:C37)</f>
        <v>53020852</v>
      </c>
      <c r="D38" s="28">
        <f t="shared" si="1"/>
        <v>486310</v>
      </c>
      <c r="E38" s="28">
        <f t="shared" si="1"/>
        <v>197164</v>
      </c>
      <c r="F38" s="28">
        <f t="shared" si="1"/>
        <v>0</v>
      </c>
      <c r="G38" s="28">
        <f t="shared" si="1"/>
        <v>0</v>
      </c>
      <c r="H38" s="28">
        <f>SUM(H5:H37)</f>
        <v>0</v>
      </c>
      <c r="I38" s="28">
        <f t="shared" si="1"/>
        <v>0</v>
      </c>
      <c r="J38" s="28">
        <f t="shared" si="1"/>
        <v>53704326</v>
      </c>
    </row>
    <row r="42" spans="1:10" x14ac:dyDescent="0.25">
      <c r="A42" s="1"/>
      <c r="B42" s="3" t="s">
        <v>337</v>
      </c>
      <c r="C42" s="59" t="s">
        <v>459</v>
      </c>
      <c r="D42" s="13">
        <v>44378</v>
      </c>
      <c r="E42" s="13">
        <v>44409</v>
      </c>
      <c r="F42" s="13">
        <v>44440</v>
      </c>
      <c r="G42" s="13">
        <v>44470</v>
      </c>
      <c r="H42" s="13">
        <v>44501</v>
      </c>
      <c r="I42" s="13">
        <v>44531</v>
      </c>
      <c r="J42" s="1" t="s">
        <v>81</v>
      </c>
    </row>
    <row r="43" spans="1:10" x14ac:dyDescent="0.25">
      <c r="A43" s="1">
        <v>32</v>
      </c>
      <c r="B43" s="1" t="s">
        <v>92</v>
      </c>
      <c r="C43" s="27">
        <v>248482</v>
      </c>
      <c r="D43" s="27">
        <v>0</v>
      </c>
      <c r="E43" s="27">
        <v>0</v>
      </c>
      <c r="F43" s="27">
        <v>0</v>
      </c>
      <c r="G43" s="27">
        <v>0</v>
      </c>
      <c r="H43" s="27">
        <v>0</v>
      </c>
      <c r="I43" s="27">
        <v>0</v>
      </c>
      <c r="J43" s="27">
        <f t="shared" ref="J43:J64" si="2">SUM(C43:I43)</f>
        <v>248482</v>
      </c>
    </row>
    <row r="44" spans="1:10" x14ac:dyDescent="0.25">
      <c r="A44" s="1">
        <v>33</v>
      </c>
      <c r="B44" s="1" t="s">
        <v>97</v>
      </c>
      <c r="C44" s="27">
        <v>190000</v>
      </c>
      <c r="D44" s="27">
        <v>0</v>
      </c>
      <c r="E44" s="27">
        <v>0</v>
      </c>
      <c r="F44" s="27">
        <v>0</v>
      </c>
      <c r="G44" s="27">
        <v>0</v>
      </c>
      <c r="H44" s="27">
        <v>0</v>
      </c>
      <c r="I44" s="27">
        <v>0</v>
      </c>
      <c r="J44" s="27">
        <f t="shared" si="2"/>
        <v>190000</v>
      </c>
    </row>
    <row r="45" spans="1:10" x14ac:dyDescent="0.25">
      <c r="A45" s="1">
        <v>34</v>
      </c>
      <c r="B45" s="1" t="s">
        <v>98</v>
      </c>
      <c r="C45" s="27">
        <v>136420</v>
      </c>
      <c r="D45" s="27">
        <v>873</v>
      </c>
      <c r="E45" s="27">
        <v>786</v>
      </c>
      <c r="F45" s="27"/>
      <c r="G45" s="27"/>
      <c r="H45" s="27"/>
      <c r="I45" s="27"/>
      <c r="J45" s="27">
        <f t="shared" si="2"/>
        <v>138079</v>
      </c>
    </row>
    <row r="46" spans="1:10" x14ac:dyDescent="0.25">
      <c r="A46" s="1">
        <v>35</v>
      </c>
      <c r="B46" s="1" t="s">
        <v>46</v>
      </c>
      <c r="C46" s="27">
        <v>84576</v>
      </c>
      <c r="D46" s="27">
        <v>540</v>
      </c>
      <c r="E46" s="27">
        <v>285</v>
      </c>
      <c r="F46" s="27"/>
      <c r="G46" s="27"/>
      <c r="H46" s="27"/>
      <c r="I46" s="27"/>
      <c r="J46" s="27">
        <f t="shared" si="2"/>
        <v>85401</v>
      </c>
    </row>
    <row r="47" spans="1:10" x14ac:dyDescent="0.25">
      <c r="A47" s="1">
        <v>36</v>
      </c>
      <c r="B47" s="1" t="s">
        <v>14</v>
      </c>
      <c r="C47" s="27">
        <v>138471</v>
      </c>
      <c r="D47" s="27">
        <v>145</v>
      </c>
      <c r="E47" s="27">
        <v>935</v>
      </c>
      <c r="F47" s="27"/>
      <c r="G47" s="27"/>
      <c r="H47" s="27"/>
      <c r="I47" s="27"/>
      <c r="J47" s="27">
        <f t="shared" si="2"/>
        <v>139551</v>
      </c>
    </row>
    <row r="48" spans="1:10" x14ac:dyDescent="0.25">
      <c r="A48" s="3">
        <v>37</v>
      </c>
      <c r="B48" s="3" t="s">
        <v>376</v>
      </c>
      <c r="C48" s="27">
        <v>973191</v>
      </c>
      <c r="D48" s="27">
        <v>0</v>
      </c>
      <c r="E48" s="27">
        <v>5352</v>
      </c>
      <c r="F48" s="27"/>
      <c r="G48" s="27"/>
      <c r="H48" s="27"/>
      <c r="I48" s="27"/>
      <c r="J48" s="27">
        <f t="shared" si="2"/>
        <v>978543</v>
      </c>
    </row>
    <row r="49" spans="1:10" x14ac:dyDescent="0.25">
      <c r="A49" s="3"/>
      <c r="B49" s="3" t="s">
        <v>348</v>
      </c>
      <c r="C49" s="27">
        <v>119500</v>
      </c>
      <c r="D49" s="27">
        <v>20000</v>
      </c>
      <c r="E49" s="27"/>
      <c r="F49" s="27"/>
      <c r="G49" s="27"/>
      <c r="H49" s="27"/>
      <c r="I49" s="27"/>
      <c r="J49" s="27">
        <f t="shared" si="2"/>
        <v>139500</v>
      </c>
    </row>
    <row r="50" spans="1:10" x14ac:dyDescent="0.25">
      <c r="A50" s="1">
        <v>38</v>
      </c>
      <c r="B50" s="1" t="s">
        <v>333</v>
      </c>
      <c r="C50" s="27">
        <v>732041</v>
      </c>
      <c r="D50" s="27">
        <v>2394</v>
      </c>
      <c r="E50" s="27">
        <v>15700</v>
      </c>
      <c r="F50" s="27"/>
      <c r="G50" s="27"/>
      <c r="H50" s="27"/>
      <c r="I50" s="27"/>
      <c r="J50" s="27">
        <f t="shared" si="2"/>
        <v>750135</v>
      </c>
    </row>
    <row r="51" spans="1:10" x14ac:dyDescent="0.25">
      <c r="A51" s="1">
        <v>39</v>
      </c>
      <c r="B51" s="1" t="s">
        <v>352</v>
      </c>
      <c r="C51" s="27">
        <v>1156100</v>
      </c>
      <c r="D51" s="27">
        <v>0</v>
      </c>
      <c r="E51" s="27">
        <v>17200</v>
      </c>
      <c r="F51" s="27"/>
      <c r="G51" s="27"/>
      <c r="H51" s="27"/>
      <c r="I51" s="27"/>
      <c r="J51" s="27">
        <f t="shared" si="2"/>
        <v>1173300</v>
      </c>
    </row>
    <row r="52" spans="1:10" x14ac:dyDescent="0.25">
      <c r="A52" s="1"/>
      <c r="B52" s="3" t="s">
        <v>353</v>
      </c>
      <c r="C52" s="27">
        <v>134090</v>
      </c>
      <c r="D52" s="27">
        <v>0</v>
      </c>
      <c r="E52" s="27">
        <v>0</v>
      </c>
      <c r="F52" s="27">
        <v>0</v>
      </c>
      <c r="G52" s="27">
        <v>0</v>
      </c>
      <c r="H52" s="27">
        <v>0</v>
      </c>
      <c r="I52" s="27">
        <v>0</v>
      </c>
      <c r="J52" s="27">
        <f>SUM(C52:I52)</f>
        <v>134090</v>
      </c>
    </row>
    <row r="53" spans="1:10" x14ac:dyDescent="0.25">
      <c r="A53" s="1"/>
      <c r="B53" s="3" t="s">
        <v>419</v>
      </c>
      <c r="C53" s="38">
        <v>180900</v>
      </c>
      <c r="D53" s="38">
        <v>19500</v>
      </c>
      <c r="E53" s="27">
        <v>3000</v>
      </c>
      <c r="F53" s="38"/>
      <c r="G53" s="38"/>
      <c r="H53" s="38"/>
      <c r="I53" s="38"/>
      <c r="J53" s="27">
        <f>SUM(C53:I53)</f>
        <v>203400</v>
      </c>
    </row>
    <row r="54" spans="1:10" x14ac:dyDescent="0.25">
      <c r="A54" s="1">
        <v>40</v>
      </c>
      <c r="B54" s="1" t="s">
        <v>351</v>
      </c>
      <c r="C54" s="27">
        <v>679937</v>
      </c>
      <c r="D54" s="27">
        <v>0</v>
      </c>
      <c r="E54" s="27">
        <v>0</v>
      </c>
      <c r="F54" s="27"/>
      <c r="G54" s="27"/>
      <c r="H54" s="27"/>
      <c r="I54" s="27"/>
      <c r="J54" s="27">
        <f t="shared" si="2"/>
        <v>679937</v>
      </c>
    </row>
    <row r="55" spans="1:10" x14ac:dyDescent="0.25">
      <c r="A55" s="1"/>
      <c r="B55" s="3" t="s">
        <v>350</v>
      </c>
      <c r="C55" s="14">
        <v>266500</v>
      </c>
      <c r="D55" s="14">
        <v>12000</v>
      </c>
      <c r="E55" s="14">
        <v>5000</v>
      </c>
      <c r="F55" s="14"/>
      <c r="G55" s="14"/>
      <c r="H55" s="27"/>
      <c r="I55" s="27"/>
      <c r="J55" s="14">
        <f t="shared" si="2"/>
        <v>283500</v>
      </c>
    </row>
    <row r="56" spans="1:10" x14ac:dyDescent="0.25">
      <c r="A56" s="1">
        <v>41</v>
      </c>
      <c r="B56" s="1" t="s">
        <v>347</v>
      </c>
      <c r="C56" s="14">
        <v>732422</v>
      </c>
      <c r="D56" s="14">
        <v>48850</v>
      </c>
      <c r="E56" s="14">
        <v>58659</v>
      </c>
      <c r="F56" s="14"/>
      <c r="G56" s="14"/>
      <c r="H56" s="27"/>
      <c r="I56" s="27"/>
      <c r="J56" s="14">
        <f t="shared" si="2"/>
        <v>839931</v>
      </c>
    </row>
    <row r="57" spans="1:10" x14ac:dyDescent="0.25">
      <c r="A57" s="1" t="s">
        <v>456</v>
      </c>
      <c r="B57" s="3" t="s">
        <v>391</v>
      </c>
      <c r="C57" s="14">
        <v>177000</v>
      </c>
      <c r="D57" s="14">
        <v>0</v>
      </c>
      <c r="E57" s="14">
        <v>0</v>
      </c>
      <c r="F57" s="14">
        <v>0</v>
      </c>
      <c r="G57" s="14">
        <v>0</v>
      </c>
      <c r="H57" s="27">
        <v>0</v>
      </c>
      <c r="I57" s="27">
        <v>0</v>
      </c>
      <c r="J57" s="14">
        <f t="shared" si="2"/>
        <v>177000</v>
      </c>
    </row>
    <row r="58" spans="1:10" x14ac:dyDescent="0.25">
      <c r="A58" s="1">
        <v>42</v>
      </c>
      <c r="B58" s="1" t="s">
        <v>349</v>
      </c>
      <c r="C58" s="14">
        <v>57882</v>
      </c>
      <c r="D58" s="14">
        <v>0</v>
      </c>
      <c r="E58" s="14">
        <v>0</v>
      </c>
      <c r="F58" s="14">
        <v>0</v>
      </c>
      <c r="G58" s="14">
        <v>0</v>
      </c>
      <c r="H58" s="27">
        <v>0</v>
      </c>
      <c r="I58" s="27">
        <v>0</v>
      </c>
      <c r="J58" s="14">
        <f t="shared" si="2"/>
        <v>57882</v>
      </c>
    </row>
    <row r="59" spans="1:10" x14ac:dyDescent="0.25">
      <c r="A59" s="1">
        <v>43</v>
      </c>
      <c r="B59" s="1" t="s">
        <v>354</v>
      </c>
      <c r="C59" s="14">
        <v>201105</v>
      </c>
      <c r="D59" s="14">
        <v>0</v>
      </c>
      <c r="E59" s="14">
        <v>0</v>
      </c>
      <c r="F59" s="14">
        <v>0</v>
      </c>
      <c r="G59" s="14">
        <v>0</v>
      </c>
      <c r="H59" s="27">
        <v>0</v>
      </c>
      <c r="I59" s="27">
        <v>0</v>
      </c>
      <c r="J59" s="14">
        <f t="shared" si="2"/>
        <v>201105</v>
      </c>
    </row>
    <row r="60" spans="1:10" x14ac:dyDescent="0.25">
      <c r="A60" s="1">
        <v>44</v>
      </c>
      <c r="B60" s="3" t="s">
        <v>382</v>
      </c>
      <c r="C60" s="14">
        <v>167000</v>
      </c>
      <c r="D60" s="14">
        <v>0</v>
      </c>
      <c r="E60" s="14">
        <v>5000</v>
      </c>
      <c r="F60" s="14"/>
      <c r="G60" s="14"/>
      <c r="H60" s="27"/>
      <c r="I60" s="27">
        <v>0</v>
      </c>
      <c r="J60" s="14">
        <f t="shared" si="2"/>
        <v>172000</v>
      </c>
    </row>
    <row r="61" spans="1:10" x14ac:dyDescent="0.25">
      <c r="A61" s="1">
        <v>45</v>
      </c>
      <c r="B61" s="3" t="s">
        <v>355</v>
      </c>
      <c r="C61" s="14">
        <v>470000</v>
      </c>
      <c r="D61" s="14">
        <v>0</v>
      </c>
      <c r="E61" s="14">
        <v>0</v>
      </c>
      <c r="F61" s="14"/>
      <c r="G61" s="14"/>
      <c r="H61" s="27"/>
      <c r="I61" s="27"/>
      <c r="J61" s="14">
        <f t="shared" si="2"/>
        <v>470000</v>
      </c>
    </row>
    <row r="62" spans="1:10" x14ac:dyDescent="0.25">
      <c r="A62" s="1">
        <v>46</v>
      </c>
      <c r="B62" s="3" t="s">
        <v>428</v>
      </c>
      <c r="C62" s="14">
        <v>350000</v>
      </c>
      <c r="D62" s="14">
        <v>0</v>
      </c>
      <c r="E62" s="14">
        <v>0</v>
      </c>
      <c r="F62" s="14">
        <v>0</v>
      </c>
      <c r="G62" s="14">
        <v>0</v>
      </c>
      <c r="H62" s="27">
        <v>0</v>
      </c>
      <c r="I62" s="27">
        <v>0</v>
      </c>
      <c r="J62" s="14">
        <f t="shared" si="2"/>
        <v>350000</v>
      </c>
    </row>
    <row r="63" spans="1:10" x14ac:dyDescent="0.25">
      <c r="A63" s="1">
        <v>47</v>
      </c>
      <c r="B63" s="38" t="s">
        <v>275</v>
      </c>
      <c r="C63" s="77">
        <v>3983400</v>
      </c>
      <c r="D63" s="77">
        <v>0</v>
      </c>
      <c r="E63" s="77">
        <v>0</v>
      </c>
      <c r="F63" s="77">
        <v>0</v>
      </c>
      <c r="G63" s="77">
        <v>0</v>
      </c>
      <c r="H63" s="79">
        <v>0</v>
      </c>
      <c r="I63" s="79">
        <v>0</v>
      </c>
      <c r="J63" s="77">
        <f t="shared" si="2"/>
        <v>3983400</v>
      </c>
    </row>
    <row r="64" spans="1:10" x14ac:dyDescent="0.25">
      <c r="A64" s="1">
        <v>48</v>
      </c>
      <c r="B64" s="1" t="s">
        <v>314</v>
      </c>
      <c r="C64" s="77">
        <v>835000</v>
      </c>
      <c r="D64" s="77">
        <v>0</v>
      </c>
      <c r="E64" s="77">
        <v>0</v>
      </c>
      <c r="F64" s="77">
        <v>0</v>
      </c>
      <c r="G64" s="77">
        <v>0</v>
      </c>
      <c r="H64" s="79">
        <v>0</v>
      </c>
      <c r="I64" s="79">
        <v>0</v>
      </c>
      <c r="J64" s="77">
        <f t="shared" si="2"/>
        <v>835000</v>
      </c>
    </row>
    <row r="65" spans="1:10" x14ac:dyDescent="0.25">
      <c r="A65" s="1"/>
      <c r="B65" s="3" t="s">
        <v>93</v>
      </c>
      <c r="C65" s="74">
        <f>SUM(C43:C62)</f>
        <v>7195617</v>
      </c>
      <c r="D65" s="74">
        <f t="shared" ref="D65:I65" si="3">SUM(D43:D61)</f>
        <v>104302</v>
      </c>
      <c r="E65" s="74">
        <f t="shared" si="3"/>
        <v>111917</v>
      </c>
      <c r="F65" s="74">
        <f t="shared" si="3"/>
        <v>0</v>
      </c>
      <c r="G65" s="74">
        <f t="shared" si="3"/>
        <v>0</v>
      </c>
      <c r="H65" s="74">
        <f t="shared" si="3"/>
        <v>0</v>
      </c>
      <c r="I65" s="74">
        <f t="shared" si="3"/>
        <v>0</v>
      </c>
      <c r="J65" s="74">
        <f>SUM(J43:J62)</f>
        <v>7411836</v>
      </c>
    </row>
    <row r="66" spans="1:10" ht="15.75" x14ac:dyDescent="0.25">
      <c r="A66" s="1"/>
      <c r="B66" s="8" t="s">
        <v>94</v>
      </c>
      <c r="C66" s="16">
        <f t="shared" ref="C66:I66" si="4">C38+C65</f>
        <v>60216469</v>
      </c>
      <c r="D66" s="16">
        <f t="shared" si="4"/>
        <v>590612</v>
      </c>
      <c r="E66" s="16">
        <f t="shared" si="4"/>
        <v>309081</v>
      </c>
      <c r="F66" s="16">
        <f t="shared" si="4"/>
        <v>0</v>
      </c>
      <c r="G66" s="16">
        <f t="shared" si="4"/>
        <v>0</v>
      </c>
      <c r="H66" s="16">
        <f t="shared" si="4"/>
        <v>0</v>
      </c>
      <c r="I66" s="16">
        <f t="shared" si="4"/>
        <v>0</v>
      </c>
      <c r="J66" s="16">
        <f>SUM(J38+J65)</f>
        <v>61116162</v>
      </c>
    </row>
    <row r="67" spans="1:10" x14ac:dyDescent="0.25">
      <c r="J67" s="12"/>
    </row>
    <row r="68" spans="1:10" x14ac:dyDescent="0.25">
      <c r="J68" s="26"/>
    </row>
    <row r="73" spans="1:10" ht="18.75" x14ac:dyDescent="0.3">
      <c r="B73" s="5"/>
    </row>
    <row r="74" spans="1:10" ht="18.75" x14ac:dyDescent="0.3">
      <c r="B74" s="5"/>
    </row>
    <row r="75" spans="1:10" ht="18.75" x14ac:dyDescent="0.3">
      <c r="B75" s="5"/>
    </row>
    <row r="76" spans="1:10" x14ac:dyDescent="0.25">
      <c r="A76" s="61"/>
      <c r="B76" s="61"/>
      <c r="C76" s="80"/>
      <c r="D76" s="60"/>
      <c r="E76" s="60"/>
      <c r="F76" s="60"/>
      <c r="G76" s="61"/>
    </row>
    <row r="77" spans="1:10" ht="18.75" x14ac:dyDescent="0.3">
      <c r="B77" s="5" t="s">
        <v>80</v>
      </c>
    </row>
    <row r="78" spans="1:10" ht="18.75" x14ac:dyDescent="0.3">
      <c r="B78" s="5" t="s">
        <v>64</v>
      </c>
    </row>
    <row r="79" spans="1:10" ht="18.75" x14ac:dyDescent="0.3">
      <c r="B79" s="5" t="s">
        <v>271</v>
      </c>
    </row>
    <row r="80" spans="1:10" ht="18.75" x14ac:dyDescent="0.3">
      <c r="B80" s="5" t="s">
        <v>461</v>
      </c>
    </row>
    <row r="81" spans="1:10" ht="18.75" x14ac:dyDescent="0.3">
      <c r="B81" s="5"/>
    </row>
    <row r="82" spans="1:10" x14ac:dyDescent="0.25">
      <c r="A82" s="3" t="s">
        <v>163</v>
      </c>
      <c r="B82" s="3" t="s">
        <v>164</v>
      </c>
      <c r="C82" s="59" t="s">
        <v>459</v>
      </c>
      <c r="D82" s="13">
        <v>44378</v>
      </c>
      <c r="E82" s="13">
        <v>44409</v>
      </c>
      <c r="F82" s="13">
        <v>44440</v>
      </c>
      <c r="G82" s="13">
        <v>44470</v>
      </c>
      <c r="H82" s="13">
        <v>44501</v>
      </c>
      <c r="I82" s="13">
        <v>44531</v>
      </c>
      <c r="J82" s="1" t="s">
        <v>81</v>
      </c>
    </row>
    <row r="83" spans="1:10" x14ac:dyDescent="0.25">
      <c r="A83" s="38">
        <v>1</v>
      </c>
      <c r="B83" s="1" t="s">
        <v>199</v>
      </c>
      <c r="C83" s="14">
        <v>491500</v>
      </c>
      <c r="D83" s="1"/>
      <c r="E83" s="1"/>
      <c r="F83" s="1"/>
      <c r="G83" s="70"/>
      <c r="H83" s="1"/>
      <c r="I83" s="1"/>
      <c r="J83" s="70">
        <f>SUM(C83:I83)</f>
        <v>491500</v>
      </c>
    </row>
    <row r="84" spans="1:10" x14ac:dyDescent="0.25">
      <c r="A84" s="38"/>
      <c r="B84" s="1" t="s">
        <v>202</v>
      </c>
      <c r="C84" s="14">
        <v>105000</v>
      </c>
      <c r="D84" s="1"/>
      <c r="E84" s="1"/>
      <c r="F84" s="1"/>
      <c r="G84" s="70"/>
      <c r="H84" s="1"/>
      <c r="I84" s="1"/>
      <c r="J84" s="70">
        <f t="shared" ref="J84:J89" si="5">SUM(C84:I84)</f>
        <v>105000</v>
      </c>
    </row>
    <row r="85" spans="1:10" x14ac:dyDescent="0.25">
      <c r="A85" s="38">
        <v>2</v>
      </c>
      <c r="B85" s="1" t="s">
        <v>223</v>
      </c>
      <c r="C85" s="14">
        <v>2378900</v>
      </c>
      <c r="D85" s="1"/>
      <c r="E85" s="1"/>
      <c r="F85" s="1"/>
      <c r="G85" s="70"/>
      <c r="H85" s="1"/>
      <c r="I85" s="1"/>
      <c r="J85" s="70">
        <f t="shared" si="5"/>
        <v>2378900</v>
      </c>
    </row>
    <row r="86" spans="1:10" x14ac:dyDescent="0.25">
      <c r="A86" s="38">
        <v>3</v>
      </c>
      <c r="B86" s="1" t="s">
        <v>222</v>
      </c>
      <c r="C86" s="14">
        <v>565000</v>
      </c>
      <c r="D86" s="1"/>
      <c r="E86" s="1"/>
      <c r="F86" s="1"/>
      <c r="G86" s="70"/>
      <c r="H86" s="1"/>
      <c r="I86" s="1"/>
      <c r="J86" s="70">
        <f t="shared" si="5"/>
        <v>565000</v>
      </c>
    </row>
    <row r="87" spans="1:10" x14ac:dyDescent="0.25">
      <c r="A87" s="38">
        <v>4</v>
      </c>
      <c r="B87" s="1" t="s">
        <v>231</v>
      </c>
      <c r="C87" s="14">
        <v>536000</v>
      </c>
      <c r="D87" s="1"/>
      <c r="E87" s="1"/>
      <c r="F87" s="1"/>
      <c r="G87" s="70"/>
      <c r="H87" s="1"/>
      <c r="I87" s="1"/>
      <c r="J87" s="70">
        <f t="shared" si="5"/>
        <v>536000</v>
      </c>
    </row>
    <row r="88" spans="1:10" x14ac:dyDescent="0.25">
      <c r="A88" s="38">
        <v>5</v>
      </c>
      <c r="B88" s="38" t="s">
        <v>241</v>
      </c>
      <c r="C88" s="27">
        <v>700000</v>
      </c>
      <c r="D88" s="1"/>
      <c r="E88" s="1"/>
      <c r="F88" s="1"/>
      <c r="G88" s="72"/>
      <c r="H88" s="1"/>
      <c r="I88" s="1"/>
      <c r="J88" s="70">
        <f t="shared" si="5"/>
        <v>700000</v>
      </c>
    </row>
    <row r="89" spans="1:10" x14ac:dyDescent="0.25">
      <c r="A89" s="38">
        <v>6</v>
      </c>
      <c r="B89" s="38" t="s">
        <v>309</v>
      </c>
      <c r="C89" s="27">
        <v>20000</v>
      </c>
      <c r="D89" s="1"/>
      <c r="E89" s="1"/>
      <c r="F89" s="1"/>
      <c r="G89" s="72"/>
      <c r="H89" s="1"/>
      <c r="I89" s="1"/>
      <c r="J89" s="70">
        <f t="shared" si="5"/>
        <v>20000</v>
      </c>
    </row>
    <row r="90" spans="1:10" x14ac:dyDescent="0.25">
      <c r="A90" s="1"/>
      <c r="B90" s="71" t="s">
        <v>138</v>
      </c>
      <c r="C90" s="15">
        <f>SUM(C83:C89)</f>
        <v>4796400</v>
      </c>
      <c r="D90" s="15">
        <f>SUM(D83:D88)</f>
        <v>0</v>
      </c>
      <c r="E90" s="15">
        <f>SUM(E83:E89)</f>
        <v>0</v>
      </c>
      <c r="F90" s="15">
        <f>SUM(F83:F88)</f>
        <v>0</v>
      </c>
      <c r="G90" s="15">
        <f>SUM(G83:G88)</f>
        <v>0</v>
      </c>
      <c r="H90" s="1"/>
      <c r="I90" s="15">
        <f>SUM(I83:I89)</f>
        <v>0</v>
      </c>
      <c r="J90" s="15">
        <f>SUM(J83:J89)</f>
        <v>4796400</v>
      </c>
    </row>
    <row r="91" spans="1:10" x14ac:dyDescent="0.25">
      <c r="A91" s="22"/>
      <c r="B91" s="85"/>
      <c r="C91" s="86"/>
      <c r="D91" s="86"/>
      <c r="E91" s="86"/>
      <c r="F91" s="86"/>
      <c r="G91" s="86"/>
      <c r="H91" s="22"/>
      <c r="I91" s="22"/>
      <c r="J91" s="86"/>
    </row>
    <row r="92" spans="1:10" x14ac:dyDescent="0.25">
      <c r="A92" s="22"/>
      <c r="B92" s="85"/>
      <c r="C92" s="86"/>
      <c r="D92" s="86"/>
      <c r="E92" s="86"/>
      <c r="F92" s="86"/>
      <c r="G92" s="86"/>
      <c r="H92" s="22"/>
      <c r="I92" s="22"/>
      <c r="J92" s="86"/>
    </row>
    <row r="93" spans="1:10" ht="18.75" x14ac:dyDescent="0.3">
      <c r="B93" s="5" t="s">
        <v>80</v>
      </c>
    </row>
    <row r="94" spans="1:10" ht="18.75" x14ac:dyDescent="0.3">
      <c r="B94" s="5" t="s">
        <v>64</v>
      </c>
    </row>
    <row r="95" spans="1:10" ht="18.75" x14ac:dyDescent="0.3">
      <c r="B95" s="5" t="s">
        <v>272</v>
      </c>
    </row>
    <row r="96" spans="1:10" ht="18.75" x14ac:dyDescent="0.3">
      <c r="B96" s="5" t="s">
        <v>461</v>
      </c>
    </row>
    <row r="97" spans="1:10" ht="18.75" x14ac:dyDescent="0.3">
      <c r="B97" s="5"/>
    </row>
    <row r="98" spans="1:10" x14ac:dyDescent="0.25">
      <c r="A98" s="3" t="s">
        <v>163</v>
      </c>
      <c r="B98" s="3" t="s">
        <v>164</v>
      </c>
      <c r="C98" s="59" t="s">
        <v>459</v>
      </c>
      <c r="D98" s="13">
        <v>44378</v>
      </c>
      <c r="E98" s="13">
        <v>44409</v>
      </c>
      <c r="F98" s="13">
        <v>44440</v>
      </c>
      <c r="G98" s="13">
        <v>44470</v>
      </c>
      <c r="H98" s="13">
        <v>44501</v>
      </c>
      <c r="I98" s="13">
        <v>44531</v>
      </c>
      <c r="J98" s="1" t="s">
        <v>81</v>
      </c>
    </row>
    <row r="99" spans="1:10" x14ac:dyDescent="0.25">
      <c r="A99" s="38">
        <v>1</v>
      </c>
      <c r="B99" s="1" t="s">
        <v>199</v>
      </c>
      <c r="C99" s="14"/>
      <c r="D99" s="1"/>
      <c r="E99" s="1"/>
      <c r="F99" s="1"/>
      <c r="G99" s="70"/>
      <c r="H99" s="1"/>
      <c r="I99" s="1"/>
      <c r="J99" s="70">
        <f>SUM(C99:I99)</f>
        <v>0</v>
      </c>
    </row>
    <row r="100" spans="1:10" x14ac:dyDescent="0.25">
      <c r="A100" s="38"/>
      <c r="B100" s="1" t="s">
        <v>202</v>
      </c>
      <c r="C100" s="14">
        <v>0</v>
      </c>
      <c r="D100" s="1"/>
      <c r="E100" s="1"/>
      <c r="F100" s="1"/>
      <c r="G100" s="70"/>
      <c r="H100" s="1"/>
      <c r="I100" s="1"/>
      <c r="J100" s="70">
        <f t="shared" ref="J100:J105" si="6">SUM(C100:I100)</f>
        <v>0</v>
      </c>
    </row>
    <row r="101" spans="1:10" x14ac:dyDescent="0.25">
      <c r="A101" s="38">
        <v>2</v>
      </c>
      <c r="B101" s="1" t="s">
        <v>223</v>
      </c>
      <c r="C101" s="14">
        <v>2378900</v>
      </c>
      <c r="D101" s="1"/>
      <c r="E101" s="1"/>
      <c r="F101" s="1"/>
      <c r="G101" s="70"/>
      <c r="H101" s="1"/>
      <c r="I101" s="1"/>
      <c r="J101" s="70">
        <f t="shared" si="6"/>
        <v>2378900</v>
      </c>
    </row>
    <row r="102" spans="1:10" x14ac:dyDescent="0.25">
      <c r="A102" s="38">
        <v>3</v>
      </c>
      <c r="B102" s="1" t="s">
        <v>222</v>
      </c>
      <c r="C102" s="14">
        <v>565000</v>
      </c>
      <c r="D102" s="1"/>
      <c r="E102" s="1"/>
      <c r="F102" s="1"/>
      <c r="G102" s="70"/>
      <c r="H102" s="1"/>
      <c r="I102" s="1"/>
      <c r="J102" s="70">
        <f t="shared" si="6"/>
        <v>565000</v>
      </c>
    </row>
    <row r="103" spans="1:10" x14ac:dyDescent="0.25">
      <c r="A103" s="38">
        <v>4</v>
      </c>
      <c r="B103" s="1" t="s">
        <v>231</v>
      </c>
      <c r="C103" s="14">
        <v>536000</v>
      </c>
      <c r="D103" s="1"/>
      <c r="E103" s="1"/>
      <c r="F103" s="1"/>
      <c r="G103" s="70"/>
      <c r="H103" s="1"/>
      <c r="I103" s="1"/>
      <c r="J103" s="70">
        <f t="shared" si="6"/>
        <v>536000</v>
      </c>
    </row>
    <row r="104" spans="1:10" x14ac:dyDescent="0.25">
      <c r="A104" s="38">
        <v>5</v>
      </c>
      <c r="B104" s="38" t="s">
        <v>241</v>
      </c>
      <c r="C104" s="27">
        <v>700000</v>
      </c>
      <c r="D104" s="70"/>
      <c r="E104" s="1"/>
      <c r="F104" s="1"/>
      <c r="G104" s="72"/>
      <c r="H104" s="1"/>
      <c r="I104" s="1"/>
      <c r="J104" s="70">
        <f t="shared" si="6"/>
        <v>700000</v>
      </c>
    </row>
    <row r="105" spans="1:10" x14ac:dyDescent="0.25">
      <c r="A105" s="38">
        <v>6</v>
      </c>
      <c r="B105" s="38" t="s">
        <v>309</v>
      </c>
      <c r="C105" s="27">
        <v>20000</v>
      </c>
      <c r="D105" s="70"/>
      <c r="E105" s="1"/>
      <c r="F105" s="1"/>
      <c r="G105" s="72"/>
      <c r="H105" s="1"/>
      <c r="I105" s="1"/>
      <c r="J105" s="70">
        <f t="shared" si="6"/>
        <v>20000</v>
      </c>
    </row>
    <row r="106" spans="1:10" x14ac:dyDescent="0.25">
      <c r="A106" s="1"/>
      <c r="B106" s="71" t="s">
        <v>138</v>
      </c>
      <c r="C106" s="70">
        <f>SUM(C99:C105)</f>
        <v>4199900</v>
      </c>
      <c r="D106" s="15">
        <f>SUM(D99:D105)</f>
        <v>0</v>
      </c>
      <c r="E106" s="15">
        <f>SUM(E99:E104)</f>
        <v>0</v>
      </c>
      <c r="F106" s="15">
        <f>SUM(F99:F104)</f>
        <v>0</v>
      </c>
      <c r="G106" s="15">
        <f>SUM(G99:G104)</f>
        <v>0</v>
      </c>
      <c r="H106" s="15">
        <f>SUM(H99:H104)</f>
        <v>0</v>
      </c>
      <c r="I106" s="15">
        <f>SUM(I99:I104)</f>
        <v>0</v>
      </c>
      <c r="J106" s="70">
        <f>SUM(J99:J105)</f>
        <v>4199900</v>
      </c>
    </row>
    <row r="112" spans="1:10" ht="18.75" x14ac:dyDescent="0.3">
      <c r="B112" s="5" t="s">
        <v>80</v>
      </c>
    </row>
    <row r="113" spans="1:10" ht="18.75" x14ac:dyDescent="0.3">
      <c r="B113" s="5" t="s">
        <v>64</v>
      </c>
    </row>
    <row r="114" spans="1:10" ht="18.75" x14ac:dyDescent="0.3">
      <c r="B114" s="5" t="s">
        <v>279</v>
      </c>
    </row>
    <row r="115" spans="1:10" ht="18.75" x14ac:dyDescent="0.3">
      <c r="B115" s="5" t="s">
        <v>461</v>
      </c>
    </row>
    <row r="117" spans="1:10" x14ac:dyDescent="0.25">
      <c r="A117" s="3" t="s">
        <v>163</v>
      </c>
      <c r="B117" s="3" t="s">
        <v>164</v>
      </c>
      <c r="C117" s="59" t="s">
        <v>281</v>
      </c>
      <c r="D117" s="13" t="s">
        <v>280</v>
      </c>
      <c r="E117" s="13" t="s">
        <v>280</v>
      </c>
      <c r="F117" s="13" t="s">
        <v>280</v>
      </c>
      <c r="G117" s="13" t="s">
        <v>280</v>
      </c>
      <c r="H117" s="13" t="s">
        <v>280</v>
      </c>
      <c r="I117" s="13" t="s">
        <v>280</v>
      </c>
      <c r="J117" s="3" t="s">
        <v>166</v>
      </c>
    </row>
    <row r="118" spans="1:10" x14ac:dyDescent="0.25">
      <c r="A118" s="38">
        <v>1</v>
      </c>
      <c r="B118" s="1" t="s">
        <v>199</v>
      </c>
      <c r="C118" s="14">
        <v>491500</v>
      </c>
      <c r="D118" s="1"/>
      <c r="E118" s="1"/>
      <c r="F118" s="1"/>
      <c r="G118" s="70"/>
      <c r="H118" s="1"/>
      <c r="I118" s="1"/>
      <c r="J118" s="70">
        <f>C118-D118-E118-F118-G118-H118-I118</f>
        <v>491500</v>
      </c>
    </row>
    <row r="119" spans="1:10" x14ac:dyDescent="0.25">
      <c r="A119" s="38"/>
      <c r="B119" s="1" t="s">
        <v>202</v>
      </c>
      <c r="C119" s="14">
        <v>105000</v>
      </c>
      <c r="D119" s="1"/>
      <c r="E119" s="1"/>
      <c r="F119" s="1"/>
      <c r="G119" s="70"/>
      <c r="H119" s="1"/>
      <c r="I119" s="1"/>
      <c r="J119" s="70">
        <f t="shared" ref="J119:J124" si="7">C119-D119-E119-F119-G119-H119-I119</f>
        <v>105000</v>
      </c>
    </row>
    <row r="120" spans="1:10" x14ac:dyDescent="0.25">
      <c r="A120" s="38">
        <v>2</v>
      </c>
      <c r="B120" s="1" t="s">
        <v>223</v>
      </c>
      <c r="C120" s="14">
        <v>2378900</v>
      </c>
      <c r="D120" s="1">
        <v>2378900</v>
      </c>
      <c r="E120" s="1"/>
      <c r="F120" s="1"/>
      <c r="G120" s="70"/>
      <c r="H120" s="1"/>
      <c r="I120" s="1"/>
      <c r="J120" s="70">
        <f t="shared" si="7"/>
        <v>0</v>
      </c>
    </row>
    <row r="121" spans="1:10" x14ac:dyDescent="0.25">
      <c r="A121" s="38">
        <v>3</v>
      </c>
      <c r="B121" s="1" t="s">
        <v>222</v>
      </c>
      <c r="C121" s="14">
        <v>565000</v>
      </c>
      <c r="D121" s="1">
        <v>565000</v>
      </c>
      <c r="E121" s="1"/>
      <c r="F121" s="1"/>
      <c r="G121" s="70"/>
      <c r="H121" s="1"/>
      <c r="I121" s="1"/>
      <c r="J121" s="70">
        <f t="shared" si="7"/>
        <v>0</v>
      </c>
    </row>
    <row r="122" spans="1:10" x14ac:dyDescent="0.25">
      <c r="A122" s="38">
        <v>4</v>
      </c>
      <c r="B122" s="1" t="s">
        <v>231</v>
      </c>
      <c r="C122" s="14">
        <v>536000</v>
      </c>
      <c r="D122" s="1">
        <v>536000</v>
      </c>
      <c r="E122" s="1"/>
      <c r="F122" s="1"/>
      <c r="G122" s="70"/>
      <c r="H122" s="1"/>
      <c r="I122" s="1"/>
      <c r="J122" s="70">
        <f t="shared" si="7"/>
        <v>0</v>
      </c>
    </row>
    <row r="123" spans="1:10" x14ac:dyDescent="0.25">
      <c r="A123" s="38">
        <v>5</v>
      </c>
      <c r="B123" s="38" t="s">
        <v>241</v>
      </c>
      <c r="C123" s="27">
        <v>700000</v>
      </c>
      <c r="D123" s="1">
        <v>700000</v>
      </c>
      <c r="E123" s="1"/>
      <c r="F123" s="1"/>
      <c r="G123" s="72"/>
      <c r="H123" s="1"/>
      <c r="I123" s="1"/>
      <c r="J123" s="70">
        <f t="shared" si="7"/>
        <v>0</v>
      </c>
    </row>
    <row r="124" spans="1:10" x14ac:dyDescent="0.25">
      <c r="A124" s="38">
        <v>6</v>
      </c>
      <c r="B124" s="38" t="s">
        <v>309</v>
      </c>
      <c r="C124" s="27">
        <v>20000</v>
      </c>
      <c r="D124" s="1">
        <v>20000</v>
      </c>
      <c r="E124" s="1"/>
      <c r="F124" s="1"/>
      <c r="G124" s="72"/>
      <c r="H124" s="1"/>
      <c r="I124" s="1">
        <v>0</v>
      </c>
      <c r="J124" s="70">
        <f t="shared" si="7"/>
        <v>0</v>
      </c>
    </row>
    <row r="125" spans="1:10" x14ac:dyDescent="0.25">
      <c r="A125" s="1"/>
      <c r="B125" s="71" t="s">
        <v>138</v>
      </c>
      <c r="C125" s="15">
        <f>SUM(C118:C124)</f>
        <v>4796400</v>
      </c>
      <c r="D125" s="15">
        <f>SUM(D118:D124)</f>
        <v>4199900</v>
      </c>
      <c r="E125" s="15">
        <f>SUM(E118:E124)</f>
        <v>0</v>
      </c>
      <c r="F125" s="15">
        <f>SUM(F118:F123)</f>
        <v>0</v>
      </c>
      <c r="G125" s="15">
        <f>SUM(G118:G123)</f>
        <v>0</v>
      </c>
      <c r="H125" s="1">
        <f>SUM(H118:H124)</f>
        <v>0</v>
      </c>
      <c r="I125" s="1">
        <f>SUM(I118:I124)</f>
        <v>0</v>
      </c>
      <c r="J125" s="15">
        <f>SUM(J118:J124)</f>
        <v>596500</v>
      </c>
    </row>
    <row r="127" spans="1:10" ht="18.75" x14ac:dyDescent="0.3">
      <c r="B127" s="5" t="s">
        <v>377</v>
      </c>
    </row>
    <row r="128" spans="1:10" ht="18.75" x14ac:dyDescent="0.3">
      <c r="B128" s="5" t="s">
        <v>64</v>
      </c>
    </row>
    <row r="129" spans="1:10" ht="18.75" x14ac:dyDescent="0.3">
      <c r="B129" s="5" t="s">
        <v>461</v>
      </c>
    </row>
    <row r="130" spans="1:10" x14ac:dyDescent="0.25">
      <c r="A130" s="3" t="s">
        <v>163</v>
      </c>
      <c r="B130" s="3" t="s">
        <v>164</v>
      </c>
      <c r="C130" s="59" t="s">
        <v>459</v>
      </c>
      <c r="D130" s="13">
        <v>44378</v>
      </c>
      <c r="E130" s="13">
        <v>44409</v>
      </c>
      <c r="F130" s="13">
        <v>44440</v>
      </c>
      <c r="G130" s="13">
        <v>44470</v>
      </c>
      <c r="H130" s="13">
        <v>44501</v>
      </c>
      <c r="I130" s="13">
        <v>44531</v>
      </c>
      <c r="J130" s="1" t="s">
        <v>81</v>
      </c>
    </row>
    <row r="131" spans="1:10" x14ac:dyDescent="0.25">
      <c r="A131" s="38">
        <v>1</v>
      </c>
      <c r="B131" s="59" t="s">
        <v>360</v>
      </c>
      <c r="C131" s="14">
        <v>30000</v>
      </c>
      <c r="D131" s="14">
        <v>0</v>
      </c>
      <c r="E131" s="1"/>
      <c r="F131" s="1"/>
      <c r="G131" s="70"/>
      <c r="H131" s="1"/>
      <c r="I131" s="1"/>
      <c r="J131" s="70">
        <f t="shared" ref="J131:J137" si="8">SUM(C131:I131)</f>
        <v>30000</v>
      </c>
    </row>
    <row r="132" spans="1:10" x14ac:dyDescent="0.25">
      <c r="A132" s="38"/>
      <c r="B132" s="1"/>
      <c r="C132" s="14"/>
      <c r="D132" s="1"/>
      <c r="E132" s="1"/>
      <c r="F132" s="1"/>
      <c r="G132" s="70"/>
      <c r="H132" s="1"/>
      <c r="I132" s="1"/>
      <c r="J132" s="70">
        <f t="shared" si="8"/>
        <v>0</v>
      </c>
    </row>
    <row r="133" spans="1:10" x14ac:dyDescent="0.25">
      <c r="A133" s="38"/>
      <c r="B133" s="1"/>
      <c r="C133" s="14"/>
      <c r="D133" s="1"/>
      <c r="E133" s="1"/>
      <c r="F133" s="1"/>
      <c r="G133" s="70"/>
      <c r="H133" s="1"/>
      <c r="I133" s="1"/>
      <c r="J133" s="70">
        <f t="shared" si="8"/>
        <v>0</v>
      </c>
    </row>
    <row r="134" spans="1:10" x14ac:dyDescent="0.25">
      <c r="A134" s="38"/>
      <c r="B134" s="1"/>
      <c r="C134" s="14"/>
      <c r="D134" s="1"/>
      <c r="E134" s="1"/>
      <c r="F134" s="1"/>
      <c r="G134" s="70"/>
      <c r="H134" s="1"/>
      <c r="I134" s="1"/>
      <c r="J134" s="70">
        <f t="shared" si="8"/>
        <v>0</v>
      </c>
    </row>
    <row r="135" spans="1:10" x14ac:dyDescent="0.25">
      <c r="A135" s="38"/>
      <c r="B135" s="1"/>
      <c r="C135" s="14"/>
      <c r="D135" s="1"/>
      <c r="E135" s="1"/>
      <c r="F135" s="1"/>
      <c r="G135" s="70"/>
      <c r="H135" s="1"/>
      <c r="I135" s="1"/>
      <c r="J135" s="70">
        <f t="shared" si="8"/>
        <v>0</v>
      </c>
    </row>
    <row r="136" spans="1:10" x14ac:dyDescent="0.25">
      <c r="A136" s="38"/>
      <c r="B136" s="38"/>
      <c r="C136" s="27"/>
      <c r="D136" s="1"/>
      <c r="E136" s="1"/>
      <c r="F136" s="1"/>
      <c r="G136" s="72"/>
      <c r="H136" s="1"/>
      <c r="I136" s="1"/>
      <c r="J136" s="70">
        <f t="shared" si="8"/>
        <v>0</v>
      </c>
    </row>
    <row r="137" spans="1:10" x14ac:dyDescent="0.25">
      <c r="A137" s="38"/>
      <c r="B137" s="38"/>
      <c r="C137" s="27"/>
      <c r="D137" s="1"/>
      <c r="E137" s="1"/>
      <c r="F137" s="1"/>
      <c r="G137" s="72"/>
      <c r="H137" s="1"/>
      <c r="I137" s="1"/>
      <c r="J137" s="70">
        <f t="shared" si="8"/>
        <v>0</v>
      </c>
    </row>
    <row r="138" spans="1:10" x14ac:dyDescent="0.25">
      <c r="A138" s="1"/>
      <c r="B138" s="71" t="s">
        <v>138</v>
      </c>
      <c r="C138" s="15">
        <f>SUM(C131:C137)</f>
        <v>30000</v>
      </c>
      <c r="D138" s="15">
        <f>SUM(D131:D137)</f>
        <v>0</v>
      </c>
      <c r="E138" s="15">
        <f>SUM(E131:E136)</f>
        <v>0</v>
      </c>
      <c r="F138" s="15">
        <f>SUM(F131:F136)</f>
        <v>0</v>
      </c>
      <c r="G138" s="15">
        <f>SUM(G131:G136)</f>
        <v>0</v>
      </c>
      <c r="H138" s="1">
        <f>SUM(H131:H137)</f>
        <v>0</v>
      </c>
      <c r="I138" s="1">
        <f>SUM(I131:I137)</f>
        <v>0</v>
      </c>
      <c r="J138" s="15">
        <f>SUM(J131:J137)</f>
        <v>30000</v>
      </c>
    </row>
    <row r="148" spans="1:10" x14ac:dyDescent="0.25">
      <c r="A148" s="95"/>
      <c r="B148" s="12" t="s">
        <v>80</v>
      </c>
    </row>
    <row r="149" spans="1:10" x14ac:dyDescent="0.25">
      <c r="A149" s="95"/>
      <c r="B149" s="12" t="s">
        <v>64</v>
      </c>
    </row>
    <row r="150" spans="1:10" x14ac:dyDescent="0.25">
      <c r="A150" s="95"/>
      <c r="B150" s="12" t="s">
        <v>162</v>
      </c>
    </row>
    <row r="151" spans="1:10" x14ac:dyDescent="0.25">
      <c r="A151" s="95"/>
      <c r="B151" s="12" t="s">
        <v>462</v>
      </c>
    </row>
    <row r="152" spans="1:10" x14ac:dyDescent="0.25">
      <c r="A152" s="95"/>
      <c r="B152" s="12"/>
    </row>
    <row r="153" spans="1:10" x14ac:dyDescent="0.25">
      <c r="A153" s="3" t="s">
        <v>163</v>
      </c>
      <c r="B153" s="3" t="s">
        <v>164</v>
      </c>
      <c r="C153" s="3" t="s">
        <v>459</v>
      </c>
      <c r="D153" s="13">
        <v>44378</v>
      </c>
      <c r="E153" s="13">
        <v>44409</v>
      </c>
      <c r="F153" s="13">
        <v>44440</v>
      </c>
      <c r="G153" s="13">
        <v>44470</v>
      </c>
      <c r="H153" s="13">
        <v>44501</v>
      </c>
      <c r="I153" s="13">
        <v>44531</v>
      </c>
      <c r="J153" s="1" t="s">
        <v>81</v>
      </c>
    </row>
    <row r="154" spans="1:10" x14ac:dyDescent="0.25">
      <c r="A154" s="1">
        <v>1</v>
      </c>
      <c r="B154" s="1" t="s">
        <v>167</v>
      </c>
      <c r="C154" s="27">
        <v>1600000</v>
      </c>
      <c r="D154" s="27">
        <v>0</v>
      </c>
      <c r="E154" s="27">
        <v>100000</v>
      </c>
      <c r="F154" s="27">
        <v>0</v>
      </c>
      <c r="G154" s="27">
        <v>0</v>
      </c>
      <c r="H154" s="27">
        <v>0</v>
      </c>
      <c r="I154" s="27">
        <v>0</v>
      </c>
      <c r="J154" s="72">
        <f>SUM(C154:I154)</f>
        <v>1700000</v>
      </c>
    </row>
    <row r="155" spans="1:10" x14ac:dyDescent="0.25">
      <c r="A155" s="1">
        <v>2</v>
      </c>
      <c r="B155" s="1" t="s">
        <v>168</v>
      </c>
      <c r="C155" s="27">
        <v>522000</v>
      </c>
      <c r="D155" s="27">
        <v>0</v>
      </c>
      <c r="E155" s="27">
        <v>0</v>
      </c>
      <c r="F155" s="27">
        <v>0</v>
      </c>
      <c r="G155" s="27">
        <v>0</v>
      </c>
      <c r="H155" s="27">
        <v>0</v>
      </c>
      <c r="I155" s="27">
        <v>0</v>
      </c>
      <c r="J155" s="72">
        <f t="shared" ref="J155:J202" si="9">SUM(C155:I155)</f>
        <v>522000</v>
      </c>
    </row>
    <row r="156" spans="1:10" x14ac:dyDescent="0.25">
      <c r="A156" s="1">
        <v>3</v>
      </c>
      <c r="B156" s="1" t="s">
        <v>169</v>
      </c>
      <c r="C156" s="27">
        <v>1440000</v>
      </c>
      <c r="D156" s="27">
        <v>0</v>
      </c>
      <c r="E156" s="27">
        <v>0</v>
      </c>
      <c r="F156" s="27">
        <v>0</v>
      </c>
      <c r="G156" s="27">
        <v>0</v>
      </c>
      <c r="H156" s="27">
        <v>0</v>
      </c>
      <c r="I156" s="27">
        <v>0</v>
      </c>
      <c r="J156" s="72">
        <f t="shared" si="9"/>
        <v>1440000</v>
      </c>
    </row>
    <row r="157" spans="1:10" x14ac:dyDescent="0.25">
      <c r="A157" s="1">
        <v>4</v>
      </c>
      <c r="B157" s="1" t="s">
        <v>170</v>
      </c>
      <c r="C157" s="27">
        <v>570000</v>
      </c>
      <c r="D157" s="27">
        <v>0</v>
      </c>
      <c r="E157" s="27">
        <v>0</v>
      </c>
      <c r="F157" s="27">
        <v>0</v>
      </c>
      <c r="G157" s="27">
        <v>0</v>
      </c>
      <c r="H157" s="27">
        <v>0</v>
      </c>
      <c r="I157" s="27">
        <v>0</v>
      </c>
      <c r="J157" s="72">
        <f t="shared" si="9"/>
        <v>570000</v>
      </c>
    </row>
    <row r="158" spans="1:10" x14ac:dyDescent="0.25">
      <c r="A158" s="1">
        <v>5</v>
      </c>
      <c r="B158" s="1" t="s">
        <v>171</v>
      </c>
      <c r="C158" s="27">
        <v>2037500</v>
      </c>
      <c r="D158" s="27">
        <v>15000</v>
      </c>
      <c r="E158" s="27"/>
      <c r="F158" s="27"/>
      <c r="G158" s="27"/>
      <c r="H158" s="27"/>
      <c r="I158" s="27"/>
      <c r="J158" s="72">
        <f t="shared" si="9"/>
        <v>2052500</v>
      </c>
    </row>
    <row r="159" spans="1:10" x14ac:dyDescent="0.25">
      <c r="A159" s="1">
        <v>6</v>
      </c>
      <c r="B159" s="1" t="s">
        <v>174</v>
      </c>
      <c r="C159" s="27">
        <v>1180000</v>
      </c>
      <c r="D159" s="27">
        <v>0</v>
      </c>
      <c r="E159" s="27">
        <v>0</v>
      </c>
      <c r="F159" s="27">
        <v>0</v>
      </c>
      <c r="G159" s="27">
        <v>0</v>
      </c>
      <c r="H159" s="27">
        <v>0</v>
      </c>
      <c r="I159" s="27">
        <v>0</v>
      </c>
      <c r="J159" s="72">
        <f t="shared" si="9"/>
        <v>1180000</v>
      </c>
    </row>
    <row r="160" spans="1:10" x14ac:dyDescent="0.25">
      <c r="A160" s="1">
        <v>7</v>
      </c>
      <c r="B160" s="1" t="s">
        <v>172</v>
      </c>
      <c r="C160" s="27">
        <v>1600000</v>
      </c>
      <c r="D160" s="27">
        <v>0</v>
      </c>
      <c r="E160" s="27">
        <v>0</v>
      </c>
      <c r="F160" s="27">
        <v>0</v>
      </c>
      <c r="G160" s="27">
        <v>0</v>
      </c>
      <c r="H160" s="27">
        <v>0</v>
      </c>
      <c r="I160" s="27">
        <v>0</v>
      </c>
      <c r="J160" s="72">
        <f t="shared" si="9"/>
        <v>1600000</v>
      </c>
    </row>
    <row r="161" spans="1:10" x14ac:dyDescent="0.25">
      <c r="A161" s="1">
        <v>8</v>
      </c>
      <c r="B161" s="1" t="s">
        <v>173</v>
      </c>
      <c r="C161" s="27">
        <v>1405000</v>
      </c>
      <c r="D161" s="27">
        <v>0</v>
      </c>
      <c r="E161" s="27">
        <v>0</v>
      </c>
      <c r="F161" s="27">
        <v>0</v>
      </c>
      <c r="G161" s="27">
        <v>0</v>
      </c>
      <c r="H161" s="27">
        <v>0</v>
      </c>
      <c r="I161" s="27">
        <v>0</v>
      </c>
      <c r="J161" s="72">
        <f t="shared" si="9"/>
        <v>1405000</v>
      </c>
    </row>
    <row r="162" spans="1:10" x14ac:dyDescent="0.25">
      <c r="A162" s="90">
        <v>9</v>
      </c>
      <c r="B162" s="38" t="s">
        <v>176</v>
      </c>
      <c r="C162" s="27">
        <v>650000</v>
      </c>
      <c r="D162" s="27">
        <v>0</v>
      </c>
      <c r="E162" s="27">
        <v>0</v>
      </c>
      <c r="F162" s="27">
        <v>0</v>
      </c>
      <c r="G162" s="27">
        <v>0</v>
      </c>
      <c r="H162" s="27">
        <v>0</v>
      </c>
      <c r="I162" s="27">
        <v>0</v>
      </c>
      <c r="J162" s="72">
        <f t="shared" si="9"/>
        <v>650000</v>
      </c>
    </row>
    <row r="163" spans="1:10" x14ac:dyDescent="0.25">
      <c r="A163" s="1">
        <v>10</v>
      </c>
      <c r="B163" s="1" t="s">
        <v>177</v>
      </c>
      <c r="C163" s="27">
        <v>530000</v>
      </c>
      <c r="D163" s="27">
        <v>0</v>
      </c>
      <c r="E163" s="27">
        <v>0</v>
      </c>
      <c r="F163" s="27">
        <v>0</v>
      </c>
      <c r="G163" s="27">
        <v>0</v>
      </c>
      <c r="H163" s="27">
        <v>0</v>
      </c>
      <c r="I163" s="27">
        <v>0</v>
      </c>
      <c r="J163" s="72">
        <f t="shared" si="9"/>
        <v>530000</v>
      </c>
    </row>
    <row r="164" spans="1:10" x14ac:dyDescent="0.25">
      <c r="A164" s="1">
        <v>11</v>
      </c>
      <c r="B164" s="1" t="s">
        <v>178</v>
      </c>
      <c r="C164" s="27">
        <v>1570000</v>
      </c>
      <c r="D164" s="27">
        <v>0</v>
      </c>
      <c r="E164" s="27">
        <v>0</v>
      </c>
      <c r="F164" s="27">
        <v>0</v>
      </c>
      <c r="G164" s="27">
        <v>0</v>
      </c>
      <c r="H164" s="27">
        <v>0</v>
      </c>
      <c r="I164" s="27">
        <v>0</v>
      </c>
      <c r="J164" s="72">
        <f t="shared" si="9"/>
        <v>1570000</v>
      </c>
    </row>
    <row r="165" spans="1:10" x14ac:dyDescent="0.25">
      <c r="A165" s="1">
        <v>12</v>
      </c>
      <c r="B165" s="1" t="s">
        <v>179</v>
      </c>
      <c r="C165" s="27">
        <v>570000</v>
      </c>
      <c r="D165" s="27">
        <v>0</v>
      </c>
      <c r="E165" s="27">
        <v>0</v>
      </c>
      <c r="F165" s="27">
        <v>0</v>
      </c>
      <c r="G165" s="27">
        <v>0</v>
      </c>
      <c r="H165" s="27">
        <v>0</v>
      </c>
      <c r="I165" s="27">
        <v>0</v>
      </c>
      <c r="J165" s="72">
        <f t="shared" si="9"/>
        <v>570000</v>
      </c>
    </row>
    <row r="166" spans="1:10" x14ac:dyDescent="0.25">
      <c r="A166" s="1">
        <v>13</v>
      </c>
      <c r="B166" s="1" t="s">
        <v>180</v>
      </c>
      <c r="C166" s="27">
        <v>1575000</v>
      </c>
      <c r="D166" s="27">
        <v>0</v>
      </c>
      <c r="E166" s="27">
        <v>0</v>
      </c>
      <c r="F166" s="27">
        <v>0</v>
      </c>
      <c r="G166" s="27">
        <v>0</v>
      </c>
      <c r="H166" s="27">
        <v>0</v>
      </c>
      <c r="I166" s="27">
        <v>0</v>
      </c>
      <c r="J166" s="72">
        <f t="shared" si="9"/>
        <v>1575000</v>
      </c>
    </row>
    <row r="167" spans="1:10" x14ac:dyDescent="0.25">
      <c r="A167" s="1">
        <v>14</v>
      </c>
      <c r="B167" s="1" t="s">
        <v>181</v>
      </c>
      <c r="C167" s="27">
        <v>2250000</v>
      </c>
      <c r="D167" s="27">
        <v>0</v>
      </c>
      <c r="E167" s="27">
        <v>0</v>
      </c>
      <c r="F167" s="27">
        <v>0</v>
      </c>
      <c r="G167" s="27">
        <v>0</v>
      </c>
      <c r="H167" s="27">
        <v>0</v>
      </c>
      <c r="I167" s="27">
        <v>0</v>
      </c>
      <c r="J167" s="72">
        <f t="shared" si="9"/>
        <v>2250000</v>
      </c>
    </row>
    <row r="168" spans="1:10" x14ac:dyDescent="0.25">
      <c r="A168" s="1">
        <v>15</v>
      </c>
      <c r="B168" s="1" t="s">
        <v>182</v>
      </c>
      <c r="C168" s="27">
        <v>1265515</v>
      </c>
      <c r="D168" s="27">
        <v>0</v>
      </c>
      <c r="E168" s="27">
        <v>0</v>
      </c>
      <c r="F168" s="27">
        <v>0</v>
      </c>
      <c r="G168" s="27">
        <v>0</v>
      </c>
      <c r="H168" s="27">
        <v>0</v>
      </c>
      <c r="I168" s="27">
        <v>0</v>
      </c>
      <c r="J168" s="72">
        <f t="shared" si="9"/>
        <v>1265515</v>
      </c>
    </row>
    <row r="169" spans="1:10" x14ac:dyDescent="0.25">
      <c r="A169" s="1">
        <v>16</v>
      </c>
      <c r="B169" s="1" t="s">
        <v>183</v>
      </c>
      <c r="C169" s="27">
        <v>565000</v>
      </c>
      <c r="D169" s="27">
        <v>0</v>
      </c>
      <c r="E169" s="27">
        <v>0</v>
      </c>
      <c r="F169" s="27">
        <v>0</v>
      </c>
      <c r="G169" s="27">
        <v>0</v>
      </c>
      <c r="H169" s="27">
        <v>0</v>
      </c>
      <c r="I169" s="27">
        <v>0</v>
      </c>
      <c r="J169" s="72">
        <f t="shared" si="9"/>
        <v>565000</v>
      </c>
    </row>
    <row r="170" spans="1:10" x14ac:dyDescent="0.25">
      <c r="A170" s="1">
        <v>17</v>
      </c>
      <c r="B170" s="1" t="s">
        <v>184</v>
      </c>
      <c r="C170" s="27">
        <v>1916400</v>
      </c>
      <c r="D170" s="27">
        <v>0</v>
      </c>
      <c r="E170" s="27">
        <v>0</v>
      </c>
      <c r="F170" s="27">
        <v>0</v>
      </c>
      <c r="G170" s="27">
        <v>0</v>
      </c>
      <c r="H170" s="27">
        <v>0</v>
      </c>
      <c r="I170" s="27">
        <v>0</v>
      </c>
      <c r="J170" s="72">
        <f t="shared" si="9"/>
        <v>1916400</v>
      </c>
    </row>
    <row r="171" spans="1:10" x14ac:dyDescent="0.25">
      <c r="A171" s="1">
        <v>18</v>
      </c>
      <c r="B171" s="1" t="s">
        <v>185</v>
      </c>
      <c r="C171" s="27">
        <v>2090000</v>
      </c>
      <c r="D171" s="27">
        <v>0</v>
      </c>
      <c r="E171" s="27">
        <v>0</v>
      </c>
      <c r="F171" s="27">
        <v>0</v>
      </c>
      <c r="G171" s="27">
        <v>0</v>
      </c>
      <c r="H171" s="27">
        <v>0</v>
      </c>
      <c r="I171" s="27">
        <v>0</v>
      </c>
      <c r="J171" s="72">
        <f t="shared" si="9"/>
        <v>2090000</v>
      </c>
    </row>
    <row r="172" spans="1:10" x14ac:dyDescent="0.25">
      <c r="A172" s="1">
        <v>19</v>
      </c>
      <c r="B172" s="1" t="s">
        <v>186</v>
      </c>
      <c r="C172" s="27">
        <v>500000</v>
      </c>
      <c r="D172" s="27">
        <v>0</v>
      </c>
      <c r="E172" s="27">
        <v>0</v>
      </c>
      <c r="F172" s="27">
        <v>0</v>
      </c>
      <c r="G172" s="27">
        <v>0</v>
      </c>
      <c r="H172" s="27">
        <v>0</v>
      </c>
      <c r="I172" s="27">
        <v>0</v>
      </c>
      <c r="J172" s="72">
        <f t="shared" si="9"/>
        <v>500000</v>
      </c>
    </row>
    <row r="173" spans="1:10" x14ac:dyDescent="0.25">
      <c r="A173" s="1">
        <v>20</v>
      </c>
      <c r="B173" s="1" t="s">
        <v>187</v>
      </c>
      <c r="C173" s="27">
        <v>500000</v>
      </c>
      <c r="D173" s="27">
        <v>0</v>
      </c>
      <c r="E173" s="27">
        <v>0</v>
      </c>
      <c r="F173" s="27">
        <v>0</v>
      </c>
      <c r="G173" s="27">
        <v>0</v>
      </c>
      <c r="H173" s="27">
        <v>0</v>
      </c>
      <c r="I173" s="27">
        <v>0</v>
      </c>
      <c r="J173" s="72">
        <f t="shared" si="9"/>
        <v>500000</v>
      </c>
    </row>
    <row r="174" spans="1:10" x14ac:dyDescent="0.25">
      <c r="A174" s="38">
        <v>21</v>
      </c>
      <c r="B174" s="38" t="s">
        <v>188</v>
      </c>
      <c r="C174" s="27">
        <f>550000+50000-100000</f>
        <v>500000</v>
      </c>
      <c r="D174" s="27">
        <v>0</v>
      </c>
      <c r="E174" s="27">
        <v>0</v>
      </c>
      <c r="F174" s="27">
        <v>0</v>
      </c>
      <c r="G174" s="27">
        <v>0</v>
      </c>
      <c r="H174" s="27">
        <v>0</v>
      </c>
      <c r="I174" s="27">
        <v>0</v>
      </c>
      <c r="J174" s="72">
        <f t="shared" si="9"/>
        <v>500000</v>
      </c>
    </row>
    <row r="175" spans="1:10" x14ac:dyDescent="0.25">
      <c r="A175" s="38">
        <v>22</v>
      </c>
      <c r="B175" s="38" t="s">
        <v>189</v>
      </c>
      <c r="C175" s="27">
        <v>1645000</v>
      </c>
      <c r="D175" s="27">
        <v>0</v>
      </c>
      <c r="E175" s="27">
        <v>30000</v>
      </c>
      <c r="F175" s="27">
        <v>0</v>
      </c>
      <c r="G175" s="27">
        <v>0</v>
      </c>
      <c r="H175" s="27">
        <v>0</v>
      </c>
      <c r="I175" s="27">
        <v>0</v>
      </c>
      <c r="J175" s="72">
        <f t="shared" si="9"/>
        <v>1675000</v>
      </c>
    </row>
    <row r="176" spans="1:10" x14ac:dyDescent="0.25">
      <c r="A176" s="38">
        <v>23</v>
      </c>
      <c r="B176" s="38" t="s">
        <v>190</v>
      </c>
      <c r="C176" s="27">
        <v>600000</v>
      </c>
      <c r="D176" s="27">
        <v>0</v>
      </c>
      <c r="E176" s="27">
        <v>0</v>
      </c>
      <c r="F176" s="27"/>
      <c r="G176" s="27">
        <v>0</v>
      </c>
      <c r="H176" s="27">
        <v>0</v>
      </c>
      <c r="I176" s="27">
        <v>0</v>
      </c>
      <c r="J176" s="72">
        <f t="shared" si="9"/>
        <v>600000</v>
      </c>
    </row>
    <row r="177" spans="1:10" x14ac:dyDescent="0.25">
      <c r="A177" s="38">
        <v>24</v>
      </c>
      <c r="B177" s="38" t="s">
        <v>450</v>
      </c>
      <c r="C177" s="27">
        <v>1562000</v>
      </c>
      <c r="D177" s="27">
        <v>0</v>
      </c>
      <c r="E177" s="27">
        <v>0</v>
      </c>
      <c r="F177" s="27">
        <v>0</v>
      </c>
      <c r="G177" s="27">
        <v>0</v>
      </c>
      <c r="H177" s="27">
        <v>0</v>
      </c>
      <c r="I177" s="27">
        <v>0</v>
      </c>
      <c r="J177" s="72">
        <f t="shared" si="9"/>
        <v>1562000</v>
      </c>
    </row>
    <row r="178" spans="1:10" x14ac:dyDescent="0.25">
      <c r="A178" s="38">
        <v>25</v>
      </c>
      <c r="B178" s="38" t="s">
        <v>192</v>
      </c>
      <c r="C178" s="27">
        <v>950000</v>
      </c>
      <c r="D178" s="27">
        <v>0</v>
      </c>
      <c r="E178" s="27">
        <v>0</v>
      </c>
      <c r="F178" s="27">
        <v>0</v>
      </c>
      <c r="G178" s="27">
        <v>0</v>
      </c>
      <c r="H178" s="27">
        <v>0</v>
      </c>
      <c r="I178" s="27">
        <v>0</v>
      </c>
      <c r="J178" s="72">
        <f t="shared" si="9"/>
        <v>950000</v>
      </c>
    </row>
    <row r="179" spans="1:10" x14ac:dyDescent="0.25">
      <c r="A179" s="38">
        <v>26</v>
      </c>
      <c r="B179" s="38" t="s">
        <v>193</v>
      </c>
      <c r="C179" s="27">
        <v>2694175</v>
      </c>
      <c r="D179" s="27">
        <v>0</v>
      </c>
      <c r="E179" s="27">
        <v>0</v>
      </c>
      <c r="F179" s="27">
        <v>0</v>
      </c>
      <c r="G179" s="27">
        <v>0</v>
      </c>
      <c r="H179" s="27">
        <v>0</v>
      </c>
      <c r="I179" s="27">
        <v>0</v>
      </c>
      <c r="J179" s="72">
        <f t="shared" si="9"/>
        <v>2694175</v>
      </c>
    </row>
    <row r="180" spans="1:10" x14ac:dyDescent="0.25">
      <c r="A180" s="38">
        <v>27</v>
      </c>
      <c r="B180" s="38" t="s">
        <v>378</v>
      </c>
      <c r="C180" s="27">
        <v>2890000</v>
      </c>
      <c r="D180" s="27">
        <v>0</v>
      </c>
      <c r="E180" s="27">
        <v>0</v>
      </c>
      <c r="F180" s="27">
        <v>0</v>
      </c>
      <c r="G180" s="27">
        <v>0</v>
      </c>
      <c r="H180" s="27">
        <v>0</v>
      </c>
      <c r="I180" s="27">
        <v>0</v>
      </c>
      <c r="J180" s="72">
        <f t="shared" si="9"/>
        <v>2890000</v>
      </c>
    </row>
    <row r="181" spans="1:10" x14ac:dyDescent="0.25">
      <c r="A181" s="38">
        <v>28</v>
      </c>
      <c r="B181" s="38" t="s">
        <v>196</v>
      </c>
      <c r="C181" s="27">
        <v>120000</v>
      </c>
      <c r="D181" s="27">
        <v>0</v>
      </c>
      <c r="E181" s="27">
        <v>0</v>
      </c>
      <c r="F181" s="27">
        <v>0</v>
      </c>
      <c r="G181" s="27">
        <v>0</v>
      </c>
      <c r="H181" s="27">
        <v>0</v>
      </c>
      <c r="I181" s="27">
        <v>0</v>
      </c>
      <c r="J181" s="72">
        <f t="shared" si="9"/>
        <v>120000</v>
      </c>
    </row>
    <row r="182" spans="1:10" x14ac:dyDescent="0.25">
      <c r="A182" s="38">
        <v>29</v>
      </c>
      <c r="B182" s="38" t="s">
        <v>197</v>
      </c>
      <c r="C182" s="27">
        <v>2200000</v>
      </c>
      <c r="D182" s="27">
        <v>0</v>
      </c>
      <c r="E182" s="27">
        <v>0</v>
      </c>
      <c r="F182" s="27">
        <v>0</v>
      </c>
      <c r="G182" s="27">
        <v>0</v>
      </c>
      <c r="H182" s="27">
        <v>0</v>
      </c>
      <c r="I182" s="27">
        <v>0</v>
      </c>
      <c r="J182" s="72">
        <f t="shared" si="9"/>
        <v>2200000</v>
      </c>
    </row>
    <row r="183" spans="1:10" x14ac:dyDescent="0.25">
      <c r="A183" s="38">
        <v>30</v>
      </c>
      <c r="B183" s="38" t="s">
        <v>308</v>
      </c>
      <c r="C183" s="27">
        <v>705000</v>
      </c>
      <c r="D183" s="27">
        <v>200000</v>
      </c>
      <c r="E183" s="27">
        <v>0</v>
      </c>
      <c r="F183" s="27">
        <v>0</v>
      </c>
      <c r="G183" s="27">
        <v>0</v>
      </c>
      <c r="H183" s="27">
        <v>0</v>
      </c>
      <c r="I183" s="27">
        <v>0</v>
      </c>
      <c r="J183" s="72">
        <f t="shared" si="9"/>
        <v>905000</v>
      </c>
    </row>
    <row r="184" spans="1:10" x14ac:dyDescent="0.25">
      <c r="A184" s="38">
        <v>31</v>
      </c>
      <c r="B184" s="38" t="s">
        <v>201</v>
      </c>
      <c r="C184" s="27">
        <v>1300000</v>
      </c>
      <c r="D184" s="27">
        <v>0</v>
      </c>
      <c r="E184" s="27">
        <v>300000</v>
      </c>
      <c r="F184" s="27">
        <v>0</v>
      </c>
      <c r="G184" s="27">
        <v>0</v>
      </c>
      <c r="H184" s="27">
        <v>0</v>
      </c>
      <c r="I184" s="27">
        <v>0</v>
      </c>
      <c r="J184" s="72">
        <f t="shared" si="9"/>
        <v>1600000</v>
      </c>
    </row>
    <row r="185" spans="1:10" x14ac:dyDescent="0.25">
      <c r="A185" s="90">
        <v>32</v>
      </c>
      <c r="B185" s="1" t="s">
        <v>204</v>
      </c>
      <c r="C185" s="27">
        <v>1665058</v>
      </c>
      <c r="D185" s="27">
        <v>0</v>
      </c>
      <c r="E185" s="27">
        <v>0</v>
      </c>
      <c r="F185" s="27">
        <v>0</v>
      </c>
      <c r="G185" s="27">
        <v>0</v>
      </c>
      <c r="H185" s="27">
        <v>0</v>
      </c>
      <c r="I185" s="27">
        <v>0</v>
      </c>
      <c r="J185" s="72">
        <f t="shared" si="9"/>
        <v>1665058</v>
      </c>
    </row>
    <row r="186" spans="1:10" x14ac:dyDescent="0.25">
      <c r="A186" s="38">
        <v>33</v>
      </c>
      <c r="B186" s="1" t="s">
        <v>205</v>
      </c>
      <c r="C186" s="27">
        <v>600000</v>
      </c>
      <c r="D186" s="27">
        <v>0</v>
      </c>
      <c r="E186" s="27">
        <v>0</v>
      </c>
      <c r="F186" s="27">
        <v>0</v>
      </c>
      <c r="G186" s="27">
        <v>0</v>
      </c>
      <c r="H186" s="14">
        <v>0</v>
      </c>
      <c r="I186" s="14">
        <v>0</v>
      </c>
      <c r="J186" s="70">
        <f t="shared" si="9"/>
        <v>600000</v>
      </c>
    </row>
    <row r="187" spans="1:10" x14ac:dyDescent="0.25">
      <c r="A187" s="38">
        <v>34</v>
      </c>
      <c r="B187" s="1" t="s">
        <v>208</v>
      </c>
      <c r="C187" s="14">
        <v>1520000</v>
      </c>
      <c r="D187" s="14">
        <v>0</v>
      </c>
      <c r="E187" s="14">
        <v>0</v>
      </c>
      <c r="F187" s="14">
        <v>0</v>
      </c>
      <c r="G187" s="14">
        <v>0</v>
      </c>
      <c r="H187" s="14">
        <v>0</v>
      </c>
      <c r="I187" s="14">
        <v>0</v>
      </c>
      <c r="J187" s="70">
        <f t="shared" si="9"/>
        <v>1520000</v>
      </c>
    </row>
    <row r="188" spans="1:10" x14ac:dyDescent="0.25">
      <c r="A188" s="38">
        <v>35</v>
      </c>
      <c r="B188" s="38" t="s">
        <v>230</v>
      </c>
      <c r="C188" s="27">
        <f>600000-50000+100000</f>
        <v>650000</v>
      </c>
      <c r="D188" s="27">
        <v>0</v>
      </c>
      <c r="E188" s="27">
        <v>0</v>
      </c>
      <c r="F188" s="27">
        <v>0</v>
      </c>
      <c r="G188" s="27">
        <v>0</v>
      </c>
      <c r="H188" s="27">
        <v>0</v>
      </c>
      <c r="I188" s="27">
        <v>0</v>
      </c>
      <c r="J188" s="72">
        <f t="shared" si="9"/>
        <v>650000</v>
      </c>
    </row>
    <row r="189" spans="1:10" x14ac:dyDescent="0.25">
      <c r="A189" s="38">
        <v>36</v>
      </c>
      <c r="B189" s="38" t="s">
        <v>236</v>
      </c>
      <c r="C189" s="27">
        <v>1569000</v>
      </c>
      <c r="D189" s="27">
        <v>0</v>
      </c>
      <c r="E189" s="27">
        <v>0</v>
      </c>
      <c r="F189" s="27">
        <v>0</v>
      </c>
      <c r="G189" s="27">
        <v>0</v>
      </c>
      <c r="H189" s="27">
        <v>0</v>
      </c>
      <c r="I189" s="27">
        <v>0</v>
      </c>
      <c r="J189" s="72">
        <f t="shared" si="9"/>
        <v>1569000</v>
      </c>
    </row>
    <row r="190" spans="1:10" x14ac:dyDescent="0.25">
      <c r="A190" s="38">
        <v>37</v>
      </c>
      <c r="B190" s="38" t="s">
        <v>285</v>
      </c>
      <c r="C190" s="27">
        <v>500000</v>
      </c>
      <c r="D190" s="27">
        <v>0</v>
      </c>
      <c r="E190" s="27">
        <v>0</v>
      </c>
      <c r="F190" s="27">
        <v>0</v>
      </c>
      <c r="G190" s="27">
        <v>0</v>
      </c>
      <c r="H190" s="27">
        <v>0</v>
      </c>
      <c r="I190" s="27">
        <v>0</v>
      </c>
      <c r="J190" s="72">
        <f t="shared" si="9"/>
        <v>500000</v>
      </c>
    </row>
    <row r="191" spans="1:10" x14ac:dyDescent="0.25">
      <c r="A191" s="38">
        <v>38</v>
      </c>
      <c r="B191" s="38" t="s">
        <v>286</v>
      </c>
      <c r="C191" s="27">
        <v>1400000</v>
      </c>
      <c r="D191" s="27">
        <v>0</v>
      </c>
      <c r="E191" s="27">
        <v>80000</v>
      </c>
      <c r="F191" s="27">
        <v>0</v>
      </c>
      <c r="G191" s="27">
        <v>0</v>
      </c>
      <c r="H191" s="27">
        <v>0</v>
      </c>
      <c r="I191" s="27">
        <v>0</v>
      </c>
      <c r="J191" s="72">
        <f t="shared" si="9"/>
        <v>1480000</v>
      </c>
    </row>
    <row r="192" spans="1:10" x14ac:dyDescent="0.25">
      <c r="A192" s="38">
        <v>39</v>
      </c>
      <c r="B192" s="38" t="s">
        <v>451</v>
      </c>
      <c r="C192" s="27">
        <v>140000</v>
      </c>
      <c r="D192" s="27">
        <v>0</v>
      </c>
      <c r="E192" s="27">
        <v>0</v>
      </c>
      <c r="F192" s="27">
        <v>0</v>
      </c>
      <c r="G192" s="27">
        <v>0</v>
      </c>
      <c r="H192" s="27">
        <v>0</v>
      </c>
      <c r="I192" s="27">
        <v>0</v>
      </c>
      <c r="J192" s="72">
        <f t="shared" si="9"/>
        <v>140000</v>
      </c>
    </row>
    <row r="193" spans="1:10" x14ac:dyDescent="0.25">
      <c r="A193" s="38">
        <v>40</v>
      </c>
      <c r="B193" s="38" t="s">
        <v>288</v>
      </c>
      <c r="C193" s="27">
        <v>1109000</v>
      </c>
      <c r="D193" s="27">
        <v>0</v>
      </c>
      <c r="E193" s="27">
        <v>0</v>
      </c>
      <c r="F193" s="27">
        <v>0</v>
      </c>
      <c r="G193" s="27">
        <v>0</v>
      </c>
      <c r="H193" s="27">
        <v>0</v>
      </c>
      <c r="I193" s="27">
        <v>0</v>
      </c>
      <c r="J193" s="72">
        <f t="shared" si="9"/>
        <v>1109000</v>
      </c>
    </row>
    <row r="194" spans="1:10" x14ac:dyDescent="0.25">
      <c r="A194" s="38">
        <v>41</v>
      </c>
      <c r="B194" s="123" t="s">
        <v>289</v>
      </c>
      <c r="C194" s="124">
        <v>1600000</v>
      </c>
      <c r="D194" s="124">
        <v>0</v>
      </c>
      <c r="E194" s="124">
        <v>0</v>
      </c>
      <c r="F194" s="124">
        <v>0</v>
      </c>
      <c r="G194" s="124">
        <v>0</v>
      </c>
      <c r="H194" s="27">
        <v>0</v>
      </c>
      <c r="I194" s="27">
        <v>0</v>
      </c>
      <c r="J194" s="72">
        <f t="shared" si="9"/>
        <v>1600000</v>
      </c>
    </row>
    <row r="195" spans="1:10" x14ac:dyDescent="0.25">
      <c r="A195" s="38">
        <v>42</v>
      </c>
      <c r="B195" s="38" t="s">
        <v>315</v>
      </c>
      <c r="C195" s="27">
        <v>2520000</v>
      </c>
      <c r="D195" s="124">
        <v>0</v>
      </c>
      <c r="E195" s="27">
        <v>0</v>
      </c>
      <c r="F195" s="27">
        <v>0</v>
      </c>
      <c r="G195" s="27">
        <v>0</v>
      </c>
      <c r="H195" s="27">
        <v>0</v>
      </c>
      <c r="I195" s="27">
        <v>0</v>
      </c>
      <c r="J195" s="72">
        <f t="shared" si="9"/>
        <v>2520000</v>
      </c>
    </row>
    <row r="196" spans="1:10" x14ac:dyDescent="0.25">
      <c r="A196" s="75">
        <v>43</v>
      </c>
      <c r="B196" s="38" t="s">
        <v>316</v>
      </c>
      <c r="C196" s="27">
        <v>2600000</v>
      </c>
      <c r="D196" s="124">
        <v>0</v>
      </c>
      <c r="E196" s="27">
        <v>0</v>
      </c>
      <c r="F196" s="27">
        <v>0</v>
      </c>
      <c r="G196" s="27">
        <v>0</v>
      </c>
      <c r="H196" s="27">
        <v>0</v>
      </c>
      <c r="I196" s="27">
        <v>0</v>
      </c>
      <c r="J196" s="72">
        <f t="shared" si="9"/>
        <v>2600000</v>
      </c>
    </row>
    <row r="197" spans="1:10" x14ac:dyDescent="0.25">
      <c r="A197" s="90">
        <v>44</v>
      </c>
      <c r="B197" s="38" t="s">
        <v>338</v>
      </c>
      <c r="C197" s="27">
        <v>2300000</v>
      </c>
      <c r="D197" s="124">
        <v>0</v>
      </c>
      <c r="E197" s="27">
        <v>0</v>
      </c>
      <c r="F197" s="27">
        <v>0</v>
      </c>
      <c r="G197" s="27">
        <v>0</v>
      </c>
      <c r="H197" s="27">
        <v>0</v>
      </c>
      <c r="I197" s="27">
        <v>0</v>
      </c>
      <c r="J197" s="72">
        <f t="shared" si="9"/>
        <v>2300000</v>
      </c>
    </row>
    <row r="198" spans="1:10" x14ac:dyDescent="0.25">
      <c r="A198" s="38">
        <v>45</v>
      </c>
      <c r="B198" s="38" t="s">
        <v>383</v>
      </c>
      <c r="C198" s="27">
        <v>1450000</v>
      </c>
      <c r="D198" s="27"/>
      <c r="E198" s="27"/>
      <c r="F198" s="27"/>
      <c r="G198" s="27"/>
      <c r="H198" s="27"/>
      <c r="I198" s="27">
        <v>0</v>
      </c>
      <c r="J198" s="27">
        <f t="shared" si="9"/>
        <v>1450000</v>
      </c>
    </row>
    <row r="199" spans="1:10" x14ac:dyDescent="0.25">
      <c r="A199" s="38">
        <v>46</v>
      </c>
      <c r="B199" s="1" t="s">
        <v>384</v>
      </c>
      <c r="C199" s="14">
        <v>810000</v>
      </c>
      <c r="D199" s="14">
        <v>0</v>
      </c>
      <c r="E199" s="14">
        <v>0</v>
      </c>
      <c r="F199" s="14">
        <v>0</v>
      </c>
      <c r="G199" s="14">
        <v>0</v>
      </c>
      <c r="H199" s="14">
        <v>0</v>
      </c>
      <c r="I199" s="14">
        <v>0</v>
      </c>
      <c r="J199" s="14">
        <f t="shared" si="9"/>
        <v>810000</v>
      </c>
    </row>
    <row r="200" spans="1:10" x14ac:dyDescent="0.25">
      <c r="A200" s="38">
        <v>47</v>
      </c>
      <c r="B200" s="1" t="s">
        <v>399</v>
      </c>
      <c r="C200" s="14">
        <v>1500000</v>
      </c>
      <c r="D200" s="14">
        <v>0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f t="shared" si="9"/>
        <v>1500000</v>
      </c>
    </row>
    <row r="201" spans="1:10" x14ac:dyDescent="0.25">
      <c r="A201" s="38">
        <v>48</v>
      </c>
      <c r="B201" s="1" t="s">
        <v>401</v>
      </c>
      <c r="C201" s="14">
        <v>1984000</v>
      </c>
      <c r="D201" s="14">
        <v>0</v>
      </c>
      <c r="E201" s="14">
        <v>0</v>
      </c>
      <c r="F201" s="14">
        <v>0</v>
      </c>
      <c r="G201" s="14">
        <v>0</v>
      </c>
      <c r="H201" s="14">
        <v>0</v>
      </c>
      <c r="I201" s="14">
        <v>0</v>
      </c>
      <c r="J201" s="70">
        <f t="shared" si="9"/>
        <v>1984000</v>
      </c>
    </row>
    <row r="202" spans="1:10" x14ac:dyDescent="0.25">
      <c r="A202" s="38">
        <v>49</v>
      </c>
      <c r="B202" s="1" t="s">
        <v>422</v>
      </c>
      <c r="C202" s="1">
        <v>1545000</v>
      </c>
      <c r="D202" s="14">
        <v>0</v>
      </c>
      <c r="E202" s="14">
        <v>45000</v>
      </c>
      <c r="F202" s="14"/>
      <c r="G202" s="14"/>
      <c r="H202" s="14"/>
      <c r="I202" s="14"/>
      <c r="J202" s="14">
        <f t="shared" si="9"/>
        <v>1590000</v>
      </c>
    </row>
    <row r="203" spans="1:10" x14ac:dyDescent="0.25">
      <c r="A203" s="38"/>
      <c r="B203" s="1"/>
      <c r="C203" s="1"/>
      <c r="D203" s="1"/>
      <c r="E203" s="1"/>
      <c r="F203" s="1"/>
      <c r="G203" s="1"/>
      <c r="H203" s="14"/>
      <c r="I203" s="14"/>
      <c r="J203" s="1"/>
    </row>
    <row r="204" spans="1:10" x14ac:dyDescent="0.25">
      <c r="A204" s="1"/>
      <c r="B204" s="58" t="s">
        <v>138</v>
      </c>
      <c r="C204" s="15">
        <f t="shared" ref="C204:I204" si="10">SUM(C154:C203)</f>
        <v>64964648</v>
      </c>
      <c r="D204" s="15">
        <f t="shared" si="10"/>
        <v>215000</v>
      </c>
      <c r="E204" s="15">
        <f t="shared" si="10"/>
        <v>555000</v>
      </c>
      <c r="F204" s="15">
        <f t="shared" si="10"/>
        <v>0</v>
      </c>
      <c r="G204" s="15">
        <f t="shared" si="10"/>
        <v>0</v>
      </c>
      <c r="H204" s="15">
        <f t="shared" si="10"/>
        <v>0</v>
      </c>
      <c r="I204" s="15">
        <f t="shared" si="10"/>
        <v>0</v>
      </c>
      <c r="J204" s="15">
        <f>SUM(C204:I204)</f>
        <v>65734648</v>
      </c>
    </row>
    <row r="212" spans="2:10" x14ac:dyDescent="0.25">
      <c r="E212" s="26"/>
    </row>
    <row r="214" spans="2:10" x14ac:dyDescent="0.25">
      <c r="J214" s="26"/>
    </row>
    <row r="223" spans="2:10" ht="18.75" x14ac:dyDescent="0.3">
      <c r="B223" s="5" t="s">
        <v>80</v>
      </c>
    </row>
    <row r="224" spans="2:10" ht="18.75" x14ac:dyDescent="0.3">
      <c r="B224" s="5" t="s">
        <v>64</v>
      </c>
    </row>
    <row r="225" spans="1:5" ht="18.75" x14ac:dyDescent="0.3">
      <c r="B225" s="5" t="s">
        <v>243</v>
      </c>
    </row>
    <row r="226" spans="1:5" ht="18.75" x14ac:dyDescent="0.3">
      <c r="B226" s="5" t="s">
        <v>461</v>
      </c>
    </row>
    <row r="228" spans="1:5" x14ac:dyDescent="0.25">
      <c r="A228" s="3" t="s">
        <v>244</v>
      </c>
      <c r="B228" s="3" t="s">
        <v>245</v>
      </c>
      <c r="C228" s="127" t="s">
        <v>249</v>
      </c>
    </row>
    <row r="229" spans="1:5" x14ac:dyDescent="0.25">
      <c r="A229" s="1">
        <v>1</v>
      </c>
      <c r="B229" s="66" t="s">
        <v>22</v>
      </c>
      <c r="C229" s="97">
        <v>19400000</v>
      </c>
    </row>
    <row r="230" spans="1:5" x14ac:dyDescent="0.25">
      <c r="A230" s="1">
        <v>2</v>
      </c>
      <c r="B230" s="66" t="s">
        <v>246</v>
      </c>
      <c r="C230" s="97">
        <v>65734648</v>
      </c>
    </row>
    <row r="231" spans="1:5" x14ac:dyDescent="0.25">
      <c r="A231" s="1">
        <v>3</v>
      </c>
      <c r="B231" s="66" t="s">
        <v>396</v>
      </c>
      <c r="C231" s="98">
        <v>0</v>
      </c>
    </row>
    <row r="232" spans="1:5" x14ac:dyDescent="0.25">
      <c r="A232" s="1"/>
      <c r="B232" s="66" t="s">
        <v>397</v>
      </c>
      <c r="C232" s="98">
        <v>30000</v>
      </c>
    </row>
    <row r="233" spans="1:5" x14ac:dyDescent="0.25">
      <c r="A233" s="1"/>
      <c r="B233" s="66" t="s">
        <v>398</v>
      </c>
      <c r="C233" s="98">
        <v>596500</v>
      </c>
    </row>
    <row r="234" spans="1:5" x14ac:dyDescent="0.25">
      <c r="A234" s="1"/>
      <c r="B234" s="66" t="s">
        <v>427</v>
      </c>
      <c r="C234" s="98">
        <v>200000</v>
      </c>
    </row>
    <row r="235" spans="1:5" x14ac:dyDescent="0.25">
      <c r="A235" s="1">
        <v>4</v>
      </c>
      <c r="B235" s="1" t="s">
        <v>255</v>
      </c>
      <c r="C235" s="88">
        <v>753930</v>
      </c>
    </row>
    <row r="236" spans="1:5" x14ac:dyDescent="0.25">
      <c r="A236" s="1">
        <v>5</v>
      </c>
      <c r="B236" s="1" t="s">
        <v>387</v>
      </c>
      <c r="C236" s="88">
        <v>4550</v>
      </c>
    </row>
    <row r="237" spans="1:5" ht="18.75" x14ac:dyDescent="0.3">
      <c r="A237" s="1"/>
      <c r="B237" s="73" t="s">
        <v>248</v>
      </c>
      <c r="C237" s="89">
        <f>SUM(C229:C236)</f>
        <v>86719628</v>
      </c>
      <c r="D237" s="12"/>
      <c r="E237" s="118"/>
    </row>
    <row r="238" spans="1:5" ht="18.75" x14ac:dyDescent="0.3">
      <c r="B238" s="5"/>
      <c r="C238" s="26"/>
    </row>
    <row r="239" spans="1:5" ht="18.75" x14ac:dyDescent="0.3">
      <c r="A239" s="3" t="s">
        <v>250</v>
      </c>
      <c r="B239" s="73" t="s">
        <v>251</v>
      </c>
      <c r="C239" s="127" t="s">
        <v>249</v>
      </c>
    </row>
    <row r="240" spans="1:5" x14ac:dyDescent="0.25">
      <c r="A240" s="1">
        <v>1</v>
      </c>
      <c r="B240" s="66" t="s">
        <v>252</v>
      </c>
      <c r="C240" s="87">
        <v>20000000</v>
      </c>
    </row>
    <row r="241" spans="1:9" x14ac:dyDescent="0.25">
      <c r="A241" s="1">
        <v>2</v>
      </c>
      <c r="B241" s="66" t="s">
        <v>253</v>
      </c>
      <c r="C241" s="88">
        <v>61116162</v>
      </c>
    </row>
    <row r="242" spans="1:9" x14ac:dyDescent="0.25">
      <c r="A242" s="1">
        <v>3</v>
      </c>
      <c r="B242" s="66" t="s">
        <v>254</v>
      </c>
      <c r="C242" s="88">
        <v>512436</v>
      </c>
    </row>
    <row r="243" spans="1:9" x14ac:dyDescent="0.25">
      <c r="A243" s="1">
        <v>4</v>
      </c>
      <c r="B243" s="1" t="s">
        <v>296</v>
      </c>
      <c r="C243" s="88">
        <v>3950000</v>
      </c>
    </row>
    <row r="244" spans="1:9" x14ac:dyDescent="0.25">
      <c r="A244" s="1">
        <v>5</v>
      </c>
      <c r="B244" s="1" t="s">
        <v>400</v>
      </c>
      <c r="C244" s="88">
        <v>0</v>
      </c>
    </row>
    <row r="245" spans="1:9" x14ac:dyDescent="0.25">
      <c r="A245" s="1"/>
      <c r="B245" s="1" t="s">
        <v>310</v>
      </c>
      <c r="C245" s="88">
        <v>0</v>
      </c>
    </row>
    <row r="246" spans="1:9" x14ac:dyDescent="0.25">
      <c r="A246" s="1"/>
      <c r="B246" s="1" t="s">
        <v>297</v>
      </c>
      <c r="C246" s="88">
        <v>1141030</v>
      </c>
    </row>
    <row r="247" spans="1:9" ht="18.75" x14ac:dyDescent="0.3">
      <c r="A247" s="1"/>
      <c r="B247" s="73" t="s">
        <v>248</v>
      </c>
      <c r="C247" s="89">
        <f>SUM(C240:C246)</f>
        <v>86719628</v>
      </c>
    </row>
    <row r="249" spans="1:9" ht="15.75" thickBot="1" x14ac:dyDescent="0.3"/>
    <row r="250" spans="1:9" x14ac:dyDescent="0.25">
      <c r="B250" s="31" t="s">
        <v>343</v>
      </c>
      <c r="C250" s="102"/>
      <c r="D250" s="102"/>
      <c r="E250" s="108">
        <v>20000000</v>
      </c>
    </row>
    <row r="251" spans="1:9" x14ac:dyDescent="0.25">
      <c r="B251" s="103" t="s">
        <v>341</v>
      </c>
      <c r="C251" s="22"/>
      <c r="D251" s="22"/>
      <c r="E251" s="109">
        <v>500000</v>
      </c>
    </row>
    <row r="252" spans="1:9" ht="15.75" thickBot="1" x14ac:dyDescent="0.3">
      <c r="B252" s="106" t="s">
        <v>342</v>
      </c>
      <c r="C252" s="107"/>
      <c r="D252" s="107"/>
      <c r="E252" s="110">
        <v>100000</v>
      </c>
      <c r="I252" s="101"/>
    </row>
    <row r="253" spans="1:9" ht="15.75" thickBot="1" x14ac:dyDescent="0.3">
      <c r="A253" s="22"/>
      <c r="B253" s="104" t="s">
        <v>344</v>
      </c>
      <c r="C253" s="105"/>
      <c r="D253" s="105"/>
      <c r="E253" s="111">
        <v>19400000</v>
      </c>
    </row>
    <row r="261" spans="1:7" ht="18.75" x14ac:dyDescent="0.3">
      <c r="B261" s="5" t="s">
        <v>80</v>
      </c>
    </row>
    <row r="262" spans="1:7" ht="18.75" x14ac:dyDescent="0.3">
      <c r="B262" s="5" t="s">
        <v>64</v>
      </c>
    </row>
    <row r="263" spans="1:7" x14ac:dyDescent="0.25">
      <c r="B263" t="s">
        <v>461</v>
      </c>
    </row>
    <row r="264" spans="1:7" ht="15.75" x14ac:dyDescent="0.25">
      <c r="A264" s="9" t="s">
        <v>156</v>
      </c>
      <c r="B264" s="8" t="s">
        <v>139</v>
      </c>
      <c r="C264" s="9" t="s">
        <v>140</v>
      </c>
      <c r="D264" s="9" t="s">
        <v>152</v>
      </c>
      <c r="E264" s="9" t="s">
        <v>141</v>
      </c>
      <c r="F264" s="66" t="s">
        <v>142</v>
      </c>
      <c r="G264" s="17" t="s">
        <v>425</v>
      </c>
    </row>
    <row r="265" spans="1:7" ht="15.75" x14ac:dyDescent="0.25">
      <c r="A265" s="9"/>
      <c r="B265" s="8" t="s">
        <v>436</v>
      </c>
      <c r="C265" s="56">
        <v>150028</v>
      </c>
      <c r="D265" s="56">
        <v>539370</v>
      </c>
      <c r="E265" s="56">
        <v>35760</v>
      </c>
      <c r="F265" s="56">
        <v>95453</v>
      </c>
      <c r="G265" s="1">
        <v>42000</v>
      </c>
    </row>
    <row r="266" spans="1:7" ht="15.75" x14ac:dyDescent="0.25">
      <c r="A266" s="9">
        <v>1</v>
      </c>
      <c r="B266" s="9" t="s">
        <v>437</v>
      </c>
      <c r="C266" s="56">
        <v>0</v>
      </c>
      <c r="D266" s="56">
        <v>0</v>
      </c>
      <c r="E266" s="56">
        <v>0</v>
      </c>
      <c r="F266" s="56">
        <v>20</v>
      </c>
      <c r="G266" s="1">
        <v>0</v>
      </c>
    </row>
    <row r="267" spans="1:7" ht="15.75" x14ac:dyDescent="0.25">
      <c r="A267" s="9">
        <v>2</v>
      </c>
      <c r="B267" s="9" t="s">
        <v>438</v>
      </c>
      <c r="C267" s="56">
        <v>0</v>
      </c>
      <c r="D267" s="56">
        <v>0</v>
      </c>
      <c r="E267" s="56">
        <v>14560</v>
      </c>
      <c r="F267" s="56">
        <v>0</v>
      </c>
      <c r="G267" s="1">
        <v>0</v>
      </c>
    </row>
    <row r="268" spans="1:7" ht="15.75" x14ac:dyDescent="0.25">
      <c r="A268" s="9">
        <v>3</v>
      </c>
      <c r="B268" s="9" t="s">
        <v>439</v>
      </c>
      <c r="C268" s="56">
        <v>0</v>
      </c>
      <c r="D268" s="56">
        <v>0</v>
      </c>
      <c r="E268" s="56">
        <v>0</v>
      </c>
      <c r="F268" s="56">
        <v>0</v>
      </c>
      <c r="G268" s="1">
        <v>0</v>
      </c>
    </row>
    <row r="269" spans="1:7" ht="15.75" x14ac:dyDescent="0.25">
      <c r="A269" s="9">
        <v>4</v>
      </c>
      <c r="B269" s="9" t="s">
        <v>440</v>
      </c>
      <c r="C269" s="56">
        <v>0</v>
      </c>
      <c r="D269" s="56">
        <v>0</v>
      </c>
      <c r="E269" s="56">
        <v>0</v>
      </c>
      <c r="F269" s="56">
        <v>10</v>
      </c>
      <c r="G269" s="1">
        <v>0</v>
      </c>
    </row>
    <row r="270" spans="1:7" ht="15.75" x14ac:dyDescent="0.25">
      <c r="A270" s="9">
        <v>5</v>
      </c>
      <c r="B270" s="9" t="s">
        <v>441</v>
      </c>
      <c r="C270" s="56">
        <v>0</v>
      </c>
      <c r="D270" s="56"/>
      <c r="E270" s="56">
        <v>29500</v>
      </c>
      <c r="F270" s="56">
        <v>230</v>
      </c>
      <c r="G270" s="1">
        <v>0</v>
      </c>
    </row>
    <row r="271" spans="1:7" ht="15.75" x14ac:dyDescent="0.25">
      <c r="A271" s="8">
        <v>6</v>
      </c>
      <c r="B271" s="8" t="s">
        <v>442</v>
      </c>
      <c r="C271" s="57"/>
      <c r="D271" s="1"/>
      <c r="E271" s="1">
        <v>0</v>
      </c>
      <c r="F271" s="1">
        <v>575</v>
      </c>
      <c r="G271" s="1">
        <v>0</v>
      </c>
    </row>
    <row r="272" spans="1:7" ht="15.75" x14ac:dyDescent="0.25">
      <c r="A272" s="9">
        <v>7</v>
      </c>
      <c r="B272" s="9" t="s">
        <v>443</v>
      </c>
      <c r="C272" s="56">
        <v>0</v>
      </c>
      <c r="D272" s="56">
        <v>0</v>
      </c>
      <c r="E272" s="56">
        <v>0</v>
      </c>
      <c r="F272" s="56"/>
      <c r="G272" s="1">
        <v>0</v>
      </c>
    </row>
    <row r="273" spans="1:7" ht="15.75" x14ac:dyDescent="0.25">
      <c r="A273" s="9">
        <v>8</v>
      </c>
      <c r="B273" s="9" t="s">
        <v>444</v>
      </c>
      <c r="C273" s="56">
        <v>0</v>
      </c>
      <c r="D273" s="56">
        <v>0</v>
      </c>
      <c r="E273" s="56">
        <v>39000</v>
      </c>
      <c r="F273" s="56"/>
      <c r="G273" s="1">
        <v>0</v>
      </c>
    </row>
    <row r="274" spans="1:7" ht="15.75" x14ac:dyDescent="0.25">
      <c r="A274" s="9">
        <v>9</v>
      </c>
      <c r="B274" s="9" t="s">
        <v>445</v>
      </c>
      <c r="C274" s="56">
        <v>0</v>
      </c>
      <c r="D274" s="56">
        <v>0</v>
      </c>
      <c r="E274" s="56">
        <v>0</v>
      </c>
      <c r="F274" s="56"/>
      <c r="G274" s="1">
        <v>0</v>
      </c>
    </row>
    <row r="275" spans="1:7" ht="15.75" x14ac:dyDescent="0.25">
      <c r="A275" s="9">
        <v>10</v>
      </c>
      <c r="B275" s="9" t="s">
        <v>446</v>
      </c>
      <c r="C275" s="56">
        <v>0</v>
      </c>
      <c r="D275" s="56">
        <v>0</v>
      </c>
      <c r="E275" s="56">
        <v>0</v>
      </c>
      <c r="F275" s="56"/>
      <c r="G275" s="1">
        <v>0</v>
      </c>
    </row>
    <row r="276" spans="1:7" ht="15.75" x14ac:dyDescent="0.25">
      <c r="A276" s="9">
        <v>11</v>
      </c>
      <c r="B276" s="9" t="s">
        <v>447</v>
      </c>
      <c r="C276" s="56">
        <v>0</v>
      </c>
      <c r="D276" s="56">
        <v>0</v>
      </c>
      <c r="E276" s="56">
        <v>0</v>
      </c>
      <c r="F276" s="56"/>
      <c r="G276" s="1"/>
    </row>
    <row r="277" spans="1:7" ht="15.75" x14ac:dyDescent="0.25">
      <c r="A277" s="9">
        <v>12</v>
      </c>
      <c r="B277" s="66" t="s">
        <v>448</v>
      </c>
      <c r="C277" s="56"/>
      <c r="D277" s="56">
        <v>0</v>
      </c>
      <c r="E277" s="56">
        <v>0</v>
      </c>
      <c r="F277" s="56"/>
      <c r="G277" s="1"/>
    </row>
    <row r="278" spans="1:7" ht="15.75" x14ac:dyDescent="0.25">
      <c r="A278" s="9"/>
      <c r="B278" s="55" t="s">
        <v>138</v>
      </c>
      <c r="C278" s="57">
        <f>SUM(C265:C277)</f>
        <v>150028</v>
      </c>
      <c r="D278" s="57">
        <f>SUM(D265:D277)</f>
        <v>539370</v>
      </c>
      <c r="E278" s="57">
        <f>SUM(E265:E277)</f>
        <v>118820</v>
      </c>
      <c r="F278" s="57">
        <f>SUM(F265:F277)</f>
        <v>96288</v>
      </c>
      <c r="G278" s="57">
        <f>SUM(G265:G277)</f>
        <v>42000</v>
      </c>
    </row>
    <row r="279" spans="1:7" ht="15.75" thickBot="1" x14ac:dyDescent="0.3"/>
    <row r="280" spans="1:7" ht="16.5" thickBot="1" x14ac:dyDescent="0.3">
      <c r="D280" s="12" t="s">
        <v>203</v>
      </c>
      <c r="E280" s="12"/>
      <c r="F280" s="65">
        <f>SUM(C278+D278+E278+G278)-(F278)</f>
        <v>753930</v>
      </c>
    </row>
    <row r="296" spans="1:10" ht="18.75" x14ac:dyDescent="0.3">
      <c r="B296" s="5" t="s">
        <v>80</v>
      </c>
    </row>
    <row r="297" spans="1:10" ht="18.75" x14ac:dyDescent="0.3">
      <c r="B297" s="5" t="s">
        <v>64</v>
      </c>
    </row>
    <row r="298" spans="1:10" x14ac:dyDescent="0.25">
      <c r="B298" t="s">
        <v>385</v>
      </c>
    </row>
    <row r="299" spans="1:10" x14ac:dyDescent="0.25">
      <c r="A299" s="3" t="s">
        <v>163</v>
      </c>
      <c r="B299" s="3" t="s">
        <v>164</v>
      </c>
      <c r="C299" s="59" t="s">
        <v>435</v>
      </c>
      <c r="D299" s="13">
        <v>44197</v>
      </c>
      <c r="E299" s="13">
        <v>44228</v>
      </c>
      <c r="F299" s="13">
        <v>44256</v>
      </c>
      <c r="G299" s="13">
        <v>44287</v>
      </c>
      <c r="H299" s="13">
        <v>44317</v>
      </c>
      <c r="I299" s="13">
        <v>44348</v>
      </c>
      <c r="J299" s="1" t="s">
        <v>81</v>
      </c>
    </row>
    <row r="300" spans="1:10" x14ac:dyDescent="0.25">
      <c r="A300" s="1">
        <v>1</v>
      </c>
      <c r="B300" s="1" t="s">
        <v>386</v>
      </c>
      <c r="C300" s="27">
        <v>4550</v>
      </c>
      <c r="D300" s="27">
        <v>0</v>
      </c>
      <c r="E300" s="27">
        <v>0</v>
      </c>
      <c r="F300" s="27">
        <v>0</v>
      </c>
      <c r="G300" s="27">
        <v>0</v>
      </c>
      <c r="H300" s="38"/>
      <c r="I300" s="38"/>
      <c r="J300" s="72">
        <f>SUM(C300:I300)</f>
        <v>4550</v>
      </c>
    </row>
    <row r="301" spans="1:10" x14ac:dyDescent="0.25">
      <c r="A301" s="1">
        <v>2</v>
      </c>
      <c r="B301" s="1"/>
      <c r="C301" s="27">
        <v>0</v>
      </c>
      <c r="D301" s="27">
        <v>0</v>
      </c>
      <c r="E301" s="27">
        <v>0</v>
      </c>
      <c r="F301" s="27"/>
      <c r="G301" s="27"/>
      <c r="H301" s="38"/>
      <c r="I301" s="38"/>
      <c r="J301" s="72">
        <f t="shared" ref="J301:J302" si="11">SUM(C301:I301)</f>
        <v>0</v>
      </c>
    </row>
    <row r="302" spans="1:10" x14ac:dyDescent="0.25">
      <c r="A302" s="1">
        <v>3</v>
      </c>
      <c r="B302" s="1"/>
      <c r="C302" s="27">
        <v>0</v>
      </c>
      <c r="D302" s="27">
        <v>0</v>
      </c>
      <c r="E302" s="27">
        <v>0</v>
      </c>
      <c r="F302" s="27">
        <v>0</v>
      </c>
      <c r="G302" s="27"/>
      <c r="H302" s="38"/>
      <c r="I302" s="38"/>
      <c r="J302" s="72">
        <f t="shared" si="11"/>
        <v>0</v>
      </c>
    </row>
  </sheetData>
  <pageMargins left="0.7" right="0.7" top="0.75" bottom="0.75" header="0.3" footer="0.3"/>
  <pageSetup paperSize="9" scale="88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4"/>
  <sheetViews>
    <sheetView tabSelected="1" topLeftCell="A94" workbookViewId="0">
      <selection activeCell="C99" sqref="C99"/>
    </sheetView>
  </sheetViews>
  <sheetFormatPr defaultRowHeight="15" x14ac:dyDescent="0.25"/>
  <cols>
    <col min="1" max="1" width="4.28515625" customWidth="1"/>
    <col min="2" max="2" width="35.7109375" customWidth="1"/>
    <col min="3" max="3" width="16" customWidth="1"/>
    <col min="4" max="4" width="10.42578125" customWidth="1"/>
    <col min="5" max="5" width="11.42578125" customWidth="1"/>
    <col min="6" max="6" width="11.5703125" customWidth="1"/>
    <col min="7" max="7" width="10.5703125" customWidth="1"/>
    <col min="8" max="8" width="11.28515625" customWidth="1"/>
    <col min="9" max="9" width="10.28515625" customWidth="1"/>
    <col min="10" max="10" width="12.7109375" customWidth="1"/>
  </cols>
  <sheetData>
    <row r="1" spans="1:10" ht="13.5" customHeight="1" x14ac:dyDescent="0.25">
      <c r="A1" s="94"/>
      <c r="B1" s="54" t="s">
        <v>80</v>
      </c>
      <c r="C1" s="54"/>
      <c r="D1" s="54"/>
      <c r="E1" s="94"/>
      <c r="F1" s="94"/>
      <c r="G1" s="94"/>
      <c r="H1" s="94"/>
      <c r="I1" s="94"/>
      <c r="J1" s="94"/>
    </row>
    <row r="2" spans="1:10" ht="12.75" customHeight="1" x14ac:dyDescent="0.25">
      <c r="A2" s="94"/>
      <c r="B2" s="54" t="s">
        <v>64</v>
      </c>
      <c r="C2" s="54"/>
      <c r="D2" s="54"/>
      <c r="E2" s="94"/>
      <c r="F2" s="94"/>
      <c r="G2" s="94"/>
      <c r="H2" s="94"/>
      <c r="I2" s="94"/>
      <c r="J2" s="94"/>
    </row>
    <row r="3" spans="1:10" ht="12" customHeight="1" x14ac:dyDescent="0.25">
      <c r="A3" s="94"/>
      <c r="B3" s="54" t="s">
        <v>463</v>
      </c>
      <c r="C3" s="54"/>
      <c r="D3" s="54"/>
      <c r="E3" s="94"/>
      <c r="F3" s="94"/>
      <c r="G3" s="94"/>
      <c r="H3" s="94"/>
      <c r="I3" s="94"/>
      <c r="J3" s="94"/>
    </row>
    <row r="4" spans="1:10" ht="15.75" x14ac:dyDescent="0.25">
      <c r="A4" s="1" t="s">
        <v>21</v>
      </c>
      <c r="B4" s="8" t="s">
        <v>6</v>
      </c>
      <c r="C4" s="59" t="s">
        <v>464</v>
      </c>
      <c r="D4" s="13">
        <v>44562</v>
      </c>
      <c r="E4" s="13">
        <v>44593</v>
      </c>
      <c r="F4" s="13">
        <v>44621</v>
      </c>
      <c r="G4" s="13">
        <v>44652</v>
      </c>
      <c r="H4" s="13">
        <v>44682</v>
      </c>
      <c r="I4" s="13">
        <v>44713</v>
      </c>
      <c r="J4" s="1" t="s">
        <v>81</v>
      </c>
    </row>
    <row r="5" spans="1:10" x14ac:dyDescent="0.25">
      <c r="A5" s="1">
        <v>1</v>
      </c>
      <c r="B5" s="1" t="s">
        <v>83</v>
      </c>
      <c r="C5" s="27">
        <v>16100</v>
      </c>
      <c r="D5" s="27">
        <v>0</v>
      </c>
      <c r="E5" s="27">
        <v>0</v>
      </c>
      <c r="F5" s="38">
        <v>0</v>
      </c>
      <c r="G5" s="38">
        <v>0</v>
      </c>
      <c r="H5" s="38">
        <v>0</v>
      </c>
      <c r="I5" s="38">
        <v>0</v>
      </c>
      <c r="J5" s="27">
        <f t="shared" ref="J5:J37" si="0">SUM(C5:I5)</f>
        <v>16100</v>
      </c>
    </row>
    <row r="6" spans="1:10" ht="15.75" x14ac:dyDescent="0.25">
      <c r="A6" s="1">
        <v>2</v>
      </c>
      <c r="B6" s="17" t="s">
        <v>95</v>
      </c>
      <c r="C6" s="68">
        <v>852900</v>
      </c>
      <c r="D6" s="27">
        <v>0</v>
      </c>
      <c r="E6" s="27">
        <v>0</v>
      </c>
      <c r="F6" s="38">
        <v>0</v>
      </c>
      <c r="G6" s="38">
        <v>0</v>
      </c>
      <c r="H6" s="38">
        <v>0</v>
      </c>
      <c r="I6" s="38">
        <v>0</v>
      </c>
      <c r="J6" s="27">
        <f t="shared" si="0"/>
        <v>852900</v>
      </c>
    </row>
    <row r="7" spans="1:10" x14ac:dyDescent="0.25">
      <c r="A7" s="1">
        <v>3</v>
      </c>
      <c r="B7" s="1" t="s">
        <v>82</v>
      </c>
      <c r="C7" s="27">
        <v>115500</v>
      </c>
      <c r="D7" s="27">
        <v>0</v>
      </c>
      <c r="E7" s="27">
        <v>0</v>
      </c>
      <c r="F7" s="38">
        <v>0</v>
      </c>
      <c r="G7" s="38">
        <v>0</v>
      </c>
      <c r="H7" s="38">
        <v>0</v>
      </c>
      <c r="I7" s="38">
        <v>0</v>
      </c>
      <c r="J7" s="27">
        <f t="shared" si="0"/>
        <v>115500</v>
      </c>
    </row>
    <row r="8" spans="1:10" x14ac:dyDescent="0.25">
      <c r="A8" s="1">
        <v>4</v>
      </c>
      <c r="B8" s="1" t="s">
        <v>107</v>
      </c>
      <c r="C8" s="27">
        <v>320120</v>
      </c>
      <c r="D8" s="27">
        <v>0</v>
      </c>
      <c r="E8" s="27">
        <v>0</v>
      </c>
      <c r="F8" s="38">
        <v>0</v>
      </c>
      <c r="G8" s="38">
        <v>0</v>
      </c>
      <c r="H8" s="38">
        <v>0</v>
      </c>
      <c r="I8" s="38">
        <v>0</v>
      </c>
      <c r="J8" s="27">
        <f t="shared" si="0"/>
        <v>320120</v>
      </c>
    </row>
    <row r="9" spans="1:10" x14ac:dyDescent="0.25">
      <c r="A9" s="1">
        <v>5</v>
      </c>
      <c r="B9" s="1" t="s">
        <v>123</v>
      </c>
      <c r="C9" s="27">
        <v>571500</v>
      </c>
      <c r="D9" s="27">
        <v>0</v>
      </c>
      <c r="E9" s="27">
        <v>0</v>
      </c>
      <c r="F9" s="38">
        <v>0</v>
      </c>
      <c r="G9" s="38">
        <v>0</v>
      </c>
      <c r="H9" s="38">
        <v>0</v>
      </c>
      <c r="I9" s="38">
        <v>0</v>
      </c>
      <c r="J9" s="27">
        <f t="shared" si="0"/>
        <v>571500</v>
      </c>
    </row>
    <row r="10" spans="1:10" x14ac:dyDescent="0.25">
      <c r="A10" s="1">
        <v>6</v>
      </c>
      <c r="B10" s="1" t="s">
        <v>381</v>
      </c>
      <c r="C10" s="27">
        <v>266500</v>
      </c>
      <c r="D10" s="27">
        <v>0</v>
      </c>
      <c r="E10" s="27">
        <v>0</v>
      </c>
      <c r="F10" s="38">
        <v>0</v>
      </c>
      <c r="G10" s="38">
        <v>0</v>
      </c>
      <c r="H10" s="38">
        <v>0</v>
      </c>
      <c r="I10" s="38">
        <v>0</v>
      </c>
      <c r="J10" s="27">
        <f t="shared" si="0"/>
        <v>266500</v>
      </c>
    </row>
    <row r="11" spans="1:10" x14ac:dyDescent="0.25">
      <c r="A11" s="1">
        <v>7</v>
      </c>
      <c r="B11" s="1" t="s">
        <v>84</v>
      </c>
      <c r="C11" s="27">
        <v>154708</v>
      </c>
      <c r="D11" s="27">
        <v>0</v>
      </c>
      <c r="E11" s="27">
        <v>0</v>
      </c>
      <c r="F11" s="38">
        <v>0</v>
      </c>
      <c r="G11" s="38">
        <v>0</v>
      </c>
      <c r="H11" s="38">
        <v>0</v>
      </c>
      <c r="I11" s="38">
        <v>0</v>
      </c>
      <c r="J11" s="27">
        <f t="shared" si="0"/>
        <v>154708</v>
      </c>
    </row>
    <row r="12" spans="1:10" x14ac:dyDescent="0.25">
      <c r="A12" s="1">
        <v>8</v>
      </c>
      <c r="B12" s="1" t="s">
        <v>109</v>
      </c>
      <c r="C12" s="27">
        <v>13881122</v>
      </c>
      <c r="D12" s="27">
        <v>0</v>
      </c>
      <c r="E12" s="27">
        <v>0</v>
      </c>
      <c r="F12" s="27">
        <v>144245</v>
      </c>
      <c r="G12" s="27"/>
      <c r="H12" s="27"/>
      <c r="I12" s="27"/>
      <c r="J12" s="27">
        <f t="shared" si="0"/>
        <v>14025367</v>
      </c>
    </row>
    <row r="13" spans="1:10" x14ac:dyDescent="0.25">
      <c r="A13" s="1">
        <v>9</v>
      </c>
      <c r="B13" s="1" t="s">
        <v>37</v>
      </c>
      <c r="C13" s="27">
        <v>6703750</v>
      </c>
      <c r="D13" s="27">
        <v>0</v>
      </c>
      <c r="E13" s="27">
        <v>43000</v>
      </c>
      <c r="F13" s="27">
        <v>97000</v>
      </c>
      <c r="G13" s="27">
        <v>43000</v>
      </c>
      <c r="H13" s="27"/>
      <c r="I13" s="27"/>
      <c r="J13" s="27">
        <f t="shared" si="0"/>
        <v>6886750</v>
      </c>
    </row>
    <row r="14" spans="1:10" x14ac:dyDescent="0.25">
      <c r="A14" s="1">
        <v>10</v>
      </c>
      <c r="B14" s="1" t="s">
        <v>111</v>
      </c>
      <c r="C14" s="27">
        <v>4952683</v>
      </c>
      <c r="D14" s="27"/>
      <c r="E14" s="27"/>
      <c r="F14" s="27"/>
      <c r="G14" s="27"/>
      <c r="H14" s="27"/>
      <c r="I14" s="27"/>
      <c r="J14" s="27">
        <f t="shared" si="0"/>
        <v>4952683</v>
      </c>
    </row>
    <row r="15" spans="1:10" x14ac:dyDescent="0.25">
      <c r="A15" s="1">
        <v>11</v>
      </c>
      <c r="B15" s="1" t="s">
        <v>96</v>
      </c>
      <c r="C15" s="27">
        <v>1944050</v>
      </c>
      <c r="D15" s="27">
        <v>0</v>
      </c>
      <c r="E15" s="27">
        <v>27500</v>
      </c>
      <c r="F15" s="27">
        <v>0</v>
      </c>
      <c r="G15" s="27">
        <v>28000</v>
      </c>
      <c r="H15" s="27"/>
      <c r="I15" s="27"/>
      <c r="J15" s="27">
        <f t="shared" si="0"/>
        <v>1999550</v>
      </c>
    </row>
    <row r="16" spans="1:10" x14ac:dyDescent="0.25">
      <c r="A16" s="1">
        <v>12</v>
      </c>
      <c r="B16" s="1" t="s">
        <v>217</v>
      </c>
      <c r="C16" s="27">
        <v>795615</v>
      </c>
      <c r="D16" s="27"/>
      <c r="E16" s="27"/>
      <c r="F16" s="27"/>
      <c r="G16" s="27"/>
      <c r="H16" s="27"/>
      <c r="I16" s="27"/>
      <c r="J16" s="27">
        <f t="shared" si="0"/>
        <v>795615</v>
      </c>
    </row>
    <row r="17" spans="1:10" x14ac:dyDescent="0.25">
      <c r="A17" s="1">
        <v>13</v>
      </c>
      <c r="B17" s="1" t="s">
        <v>336</v>
      </c>
      <c r="C17" s="27">
        <v>192980</v>
      </c>
      <c r="D17" s="27"/>
      <c r="E17" s="27"/>
      <c r="F17" s="27"/>
      <c r="G17" s="27"/>
      <c r="H17" s="27"/>
      <c r="I17" s="27"/>
      <c r="J17" s="27">
        <f t="shared" si="0"/>
        <v>192980</v>
      </c>
    </row>
    <row r="18" spans="1:10" x14ac:dyDescent="0.25">
      <c r="A18" s="1">
        <v>14</v>
      </c>
      <c r="B18" s="1" t="s">
        <v>108</v>
      </c>
      <c r="C18" s="27">
        <v>292994</v>
      </c>
      <c r="D18" s="27">
        <v>0</v>
      </c>
      <c r="E18" s="27">
        <v>19600</v>
      </c>
      <c r="F18" s="27">
        <v>0</v>
      </c>
      <c r="G18" s="27">
        <v>0</v>
      </c>
      <c r="H18" s="27">
        <v>7820</v>
      </c>
      <c r="I18" s="27"/>
      <c r="J18" s="27">
        <f t="shared" si="0"/>
        <v>320414</v>
      </c>
    </row>
    <row r="19" spans="1:10" x14ac:dyDescent="0.25">
      <c r="A19" s="1">
        <v>15</v>
      </c>
      <c r="B19" s="1" t="s">
        <v>119</v>
      </c>
      <c r="C19" s="27">
        <v>1026689</v>
      </c>
      <c r="D19" s="27">
        <v>26000</v>
      </c>
      <c r="E19" s="27">
        <v>15000</v>
      </c>
      <c r="F19" s="27">
        <v>30000</v>
      </c>
      <c r="G19" s="27">
        <v>45000</v>
      </c>
      <c r="H19" s="27">
        <v>24000</v>
      </c>
      <c r="I19" s="27">
        <v>37000</v>
      </c>
      <c r="J19" s="27">
        <f t="shared" si="0"/>
        <v>1203689</v>
      </c>
    </row>
    <row r="20" spans="1:10" x14ac:dyDescent="0.25">
      <c r="A20" s="1">
        <v>16</v>
      </c>
      <c r="B20" s="1" t="s">
        <v>331</v>
      </c>
      <c r="C20" s="27">
        <v>676220</v>
      </c>
      <c r="D20" s="27"/>
      <c r="E20" s="27"/>
      <c r="F20" s="27"/>
      <c r="G20" s="27"/>
      <c r="H20" s="27"/>
      <c r="I20" s="27"/>
      <c r="J20" s="27">
        <f t="shared" si="0"/>
        <v>676220</v>
      </c>
    </row>
    <row r="21" spans="1:10" x14ac:dyDescent="0.25">
      <c r="A21" s="1">
        <v>17</v>
      </c>
      <c r="B21" s="1" t="s">
        <v>88</v>
      </c>
      <c r="C21" s="27">
        <v>169309</v>
      </c>
      <c r="D21" s="27"/>
      <c r="E21" s="27"/>
      <c r="F21" s="27"/>
      <c r="G21" s="27"/>
      <c r="H21" s="27"/>
      <c r="I21" s="27"/>
      <c r="J21" s="27">
        <f t="shared" si="0"/>
        <v>169309</v>
      </c>
    </row>
    <row r="22" spans="1:10" x14ac:dyDescent="0.25">
      <c r="A22" s="1">
        <v>18</v>
      </c>
      <c r="B22" s="1" t="s">
        <v>89</v>
      </c>
      <c r="C22" s="27">
        <v>108764</v>
      </c>
      <c r="D22" s="27"/>
      <c r="E22" s="27"/>
      <c r="F22" s="27"/>
      <c r="G22" s="27"/>
      <c r="H22" s="27"/>
      <c r="I22" s="27"/>
      <c r="J22" s="27">
        <f t="shared" si="0"/>
        <v>108764</v>
      </c>
    </row>
    <row r="23" spans="1:10" x14ac:dyDescent="0.25">
      <c r="A23" s="1">
        <v>19</v>
      </c>
      <c r="B23" s="1" t="s">
        <v>90</v>
      </c>
      <c r="C23" s="27">
        <v>948500</v>
      </c>
      <c r="D23" s="27"/>
      <c r="E23" s="27"/>
      <c r="F23" s="27"/>
      <c r="G23" s="27"/>
      <c r="H23" s="27"/>
      <c r="I23" s="27"/>
      <c r="J23" s="27">
        <f t="shared" si="0"/>
        <v>948500</v>
      </c>
    </row>
    <row r="24" spans="1:10" x14ac:dyDescent="0.25">
      <c r="A24" s="1">
        <v>20</v>
      </c>
      <c r="B24" s="76" t="s">
        <v>120</v>
      </c>
      <c r="C24" s="27">
        <v>80483</v>
      </c>
      <c r="D24" s="27"/>
      <c r="E24" s="27"/>
      <c r="F24" s="27"/>
      <c r="G24" s="27"/>
      <c r="H24" s="27"/>
      <c r="I24" s="27"/>
      <c r="J24" s="27">
        <f t="shared" si="0"/>
        <v>80483</v>
      </c>
    </row>
    <row r="25" spans="1:10" x14ac:dyDescent="0.25">
      <c r="A25" s="1">
        <v>21</v>
      </c>
      <c r="B25" s="1" t="s">
        <v>128</v>
      </c>
      <c r="C25" s="27">
        <v>654527</v>
      </c>
      <c r="D25" s="27">
        <v>1229</v>
      </c>
      <c r="E25" s="27">
        <v>1840</v>
      </c>
      <c r="F25" s="27">
        <v>7888</v>
      </c>
      <c r="G25" s="27">
        <v>7665</v>
      </c>
      <c r="H25" s="27">
        <v>1835</v>
      </c>
      <c r="I25" s="27">
        <v>4470</v>
      </c>
      <c r="J25" s="27">
        <f t="shared" si="0"/>
        <v>679454</v>
      </c>
    </row>
    <row r="26" spans="1:10" x14ac:dyDescent="0.25">
      <c r="A26" s="1">
        <v>22</v>
      </c>
      <c r="B26" s="1" t="s">
        <v>127</v>
      </c>
      <c r="C26" s="27">
        <v>49500</v>
      </c>
      <c r="D26" s="27"/>
      <c r="E26" s="27"/>
      <c r="F26" s="27"/>
      <c r="G26" s="27"/>
      <c r="H26" s="27"/>
      <c r="I26" s="27"/>
      <c r="J26" s="27">
        <f t="shared" si="0"/>
        <v>49500</v>
      </c>
    </row>
    <row r="27" spans="1:10" x14ac:dyDescent="0.25">
      <c r="A27" s="1">
        <v>23</v>
      </c>
      <c r="B27" s="1" t="s">
        <v>129</v>
      </c>
      <c r="C27" s="27">
        <v>4102910</v>
      </c>
      <c r="D27" s="27">
        <v>0</v>
      </c>
      <c r="E27" s="27">
        <v>0</v>
      </c>
      <c r="F27" s="27">
        <f>6970+69000</f>
        <v>75970</v>
      </c>
      <c r="G27" s="27"/>
      <c r="H27" s="27"/>
      <c r="I27" s="27"/>
      <c r="J27" s="27">
        <f t="shared" si="0"/>
        <v>4178880</v>
      </c>
    </row>
    <row r="28" spans="1:10" x14ac:dyDescent="0.25">
      <c r="A28" s="1">
        <v>24</v>
      </c>
      <c r="B28" s="1" t="s">
        <v>157</v>
      </c>
      <c r="C28" s="27">
        <v>41976</v>
      </c>
      <c r="D28" s="27"/>
      <c r="E28" s="27"/>
      <c r="F28" s="27"/>
      <c r="G28" s="27"/>
      <c r="H28" s="27"/>
      <c r="I28" s="27"/>
      <c r="J28" s="27">
        <f t="shared" si="0"/>
        <v>41976</v>
      </c>
    </row>
    <row r="29" spans="1:10" x14ac:dyDescent="0.25">
      <c r="A29" s="1">
        <v>25</v>
      </c>
      <c r="B29" s="1" t="s">
        <v>158</v>
      </c>
      <c r="C29" s="27">
        <v>3880</v>
      </c>
      <c r="D29" s="27"/>
      <c r="E29" s="27"/>
      <c r="F29" s="27"/>
      <c r="G29" s="27"/>
      <c r="H29" s="27"/>
      <c r="I29" s="27"/>
      <c r="J29" s="27">
        <f t="shared" si="0"/>
        <v>3880</v>
      </c>
    </row>
    <row r="30" spans="1:10" x14ac:dyDescent="0.25">
      <c r="A30" s="66">
        <v>26</v>
      </c>
      <c r="B30" s="66" t="s">
        <v>209</v>
      </c>
      <c r="C30" s="27">
        <v>62573</v>
      </c>
      <c r="D30" s="27"/>
      <c r="E30" s="27"/>
      <c r="F30" s="27"/>
      <c r="G30" s="91"/>
      <c r="H30" s="91"/>
      <c r="I30" s="91"/>
      <c r="J30" s="91">
        <f t="shared" si="0"/>
        <v>62573</v>
      </c>
    </row>
    <row r="31" spans="1:10" x14ac:dyDescent="0.25">
      <c r="A31" s="66">
        <v>27</v>
      </c>
      <c r="B31" s="66" t="s">
        <v>210</v>
      </c>
      <c r="C31" s="27">
        <v>47610</v>
      </c>
      <c r="D31" s="27"/>
      <c r="E31" s="27"/>
      <c r="F31" s="27"/>
      <c r="G31" s="91"/>
      <c r="H31" s="91"/>
      <c r="I31" s="91"/>
      <c r="J31" s="91">
        <f t="shared" si="0"/>
        <v>47610</v>
      </c>
    </row>
    <row r="32" spans="1:10" x14ac:dyDescent="0.25">
      <c r="A32" s="3">
        <v>28</v>
      </c>
      <c r="B32" s="3" t="s">
        <v>130</v>
      </c>
      <c r="C32" s="28">
        <v>1812545</v>
      </c>
      <c r="D32" s="28"/>
      <c r="E32" s="28"/>
      <c r="F32" s="28"/>
      <c r="G32" s="28"/>
      <c r="H32" s="28"/>
      <c r="I32" s="28"/>
      <c r="J32" s="27">
        <f t="shared" si="0"/>
        <v>1812545</v>
      </c>
    </row>
    <row r="33" spans="1:10" x14ac:dyDescent="0.25">
      <c r="A33" s="3" t="s">
        <v>454</v>
      </c>
      <c r="B33" s="3" t="s">
        <v>306</v>
      </c>
      <c r="C33" s="15">
        <v>5137520</v>
      </c>
      <c r="D33" s="15"/>
      <c r="E33" s="15"/>
      <c r="F33" s="15"/>
      <c r="G33" s="15"/>
      <c r="H33" s="15"/>
      <c r="I33" s="15"/>
      <c r="J33" s="14">
        <f t="shared" si="0"/>
        <v>5137520</v>
      </c>
    </row>
    <row r="34" spans="1:10" x14ac:dyDescent="0.25">
      <c r="A34" s="3">
        <v>29</v>
      </c>
      <c r="B34" s="3" t="s">
        <v>452</v>
      </c>
      <c r="C34" s="15">
        <v>35971</v>
      </c>
      <c r="D34" s="15"/>
      <c r="E34" s="15"/>
      <c r="F34" s="15"/>
      <c r="G34" s="15"/>
      <c r="H34" s="15"/>
      <c r="I34" s="15"/>
      <c r="J34" s="14">
        <f t="shared" si="0"/>
        <v>35971</v>
      </c>
    </row>
    <row r="35" spans="1:10" x14ac:dyDescent="0.25">
      <c r="A35" s="3" t="s">
        <v>455</v>
      </c>
      <c r="B35" s="3" t="s">
        <v>453</v>
      </c>
      <c r="C35" s="15">
        <v>1426975</v>
      </c>
      <c r="D35" s="15">
        <v>28950</v>
      </c>
      <c r="E35" s="15">
        <v>46440</v>
      </c>
      <c r="F35" s="15">
        <v>105970</v>
      </c>
      <c r="G35" s="15">
        <v>93570</v>
      </c>
      <c r="H35" s="15">
        <v>27200</v>
      </c>
      <c r="I35" s="15">
        <v>29150</v>
      </c>
      <c r="J35" s="14">
        <f t="shared" si="0"/>
        <v>1758255</v>
      </c>
    </row>
    <row r="36" spans="1:10" x14ac:dyDescent="0.25">
      <c r="A36" s="1">
        <v>30</v>
      </c>
      <c r="B36" s="1" t="s">
        <v>449</v>
      </c>
      <c r="C36" s="14">
        <v>7751002</v>
      </c>
      <c r="D36" s="14">
        <v>87450</v>
      </c>
      <c r="E36" s="14">
        <v>93210</v>
      </c>
      <c r="F36" s="14">
        <v>100800</v>
      </c>
      <c r="G36" s="14">
        <v>127500</v>
      </c>
      <c r="H36" s="14">
        <v>82333</v>
      </c>
      <c r="I36" s="14">
        <v>81500</v>
      </c>
      <c r="J36" s="14">
        <f t="shared" si="0"/>
        <v>8323795</v>
      </c>
    </row>
    <row r="37" spans="1:10" x14ac:dyDescent="0.25">
      <c r="A37" s="1">
        <v>31</v>
      </c>
      <c r="B37" s="1" t="s">
        <v>282</v>
      </c>
      <c r="C37" s="14">
        <v>41500</v>
      </c>
      <c r="D37" s="14">
        <v>0</v>
      </c>
      <c r="E37" s="14">
        <v>3000</v>
      </c>
      <c r="F37" s="1">
        <v>0</v>
      </c>
      <c r="G37" s="14">
        <v>0</v>
      </c>
      <c r="H37" s="14">
        <v>0</v>
      </c>
      <c r="I37" s="14">
        <v>3000</v>
      </c>
      <c r="J37" s="14">
        <f t="shared" si="0"/>
        <v>47500</v>
      </c>
    </row>
    <row r="38" spans="1:10" x14ac:dyDescent="0.25">
      <c r="A38" s="1"/>
      <c r="B38" s="3" t="s">
        <v>93</v>
      </c>
      <c r="C38" s="15">
        <f t="shared" ref="C38:J38" si="1">SUM(C5:C37)</f>
        <v>55238976</v>
      </c>
      <c r="D38" s="15">
        <f t="shared" si="1"/>
        <v>143629</v>
      </c>
      <c r="E38" s="15">
        <f t="shared" si="1"/>
        <v>249590</v>
      </c>
      <c r="F38" s="15">
        <f t="shared" si="1"/>
        <v>561873</v>
      </c>
      <c r="G38" s="15">
        <f t="shared" si="1"/>
        <v>344735</v>
      </c>
      <c r="H38" s="15">
        <f>SUM(H5:H37)</f>
        <v>143188</v>
      </c>
      <c r="I38" s="15">
        <f t="shared" si="1"/>
        <v>155120</v>
      </c>
      <c r="J38" s="15">
        <f t="shared" si="1"/>
        <v>56837111</v>
      </c>
    </row>
    <row r="42" spans="1:10" x14ac:dyDescent="0.25">
      <c r="A42" s="1"/>
      <c r="B42" s="3" t="s">
        <v>337</v>
      </c>
      <c r="C42" s="59" t="s">
        <v>464</v>
      </c>
      <c r="D42" s="13">
        <v>44562</v>
      </c>
      <c r="E42" s="13">
        <v>44593</v>
      </c>
      <c r="F42" s="13">
        <v>44621</v>
      </c>
      <c r="G42" s="13">
        <v>44652</v>
      </c>
      <c r="H42" s="13">
        <v>44682</v>
      </c>
      <c r="I42" s="13">
        <v>44713</v>
      </c>
      <c r="J42" s="1" t="s">
        <v>81</v>
      </c>
    </row>
    <row r="43" spans="1:10" x14ac:dyDescent="0.25">
      <c r="A43" s="1">
        <v>32</v>
      </c>
      <c r="B43" s="1" t="s">
        <v>92</v>
      </c>
      <c r="C43" s="14">
        <v>248482</v>
      </c>
      <c r="D43" s="14">
        <v>0</v>
      </c>
      <c r="E43" s="14">
        <v>0</v>
      </c>
      <c r="F43" s="14">
        <v>0</v>
      </c>
      <c r="G43" s="14">
        <v>0</v>
      </c>
      <c r="H43" s="27">
        <v>2000</v>
      </c>
      <c r="I43" s="27">
        <v>2000</v>
      </c>
      <c r="J43" s="14">
        <f t="shared" ref="J43:J65" si="2">SUM(C43:I43)</f>
        <v>252482</v>
      </c>
    </row>
    <row r="44" spans="1:10" x14ac:dyDescent="0.25">
      <c r="A44" s="1">
        <v>33</v>
      </c>
      <c r="B44" s="1" t="s">
        <v>97</v>
      </c>
      <c r="C44" s="14">
        <v>190000</v>
      </c>
      <c r="D44" s="14">
        <v>0</v>
      </c>
      <c r="E44" s="14">
        <v>0</v>
      </c>
      <c r="F44" s="14">
        <v>0</v>
      </c>
      <c r="G44" s="14">
        <v>0</v>
      </c>
      <c r="H44" s="27">
        <v>0</v>
      </c>
      <c r="I44" s="27">
        <v>0</v>
      </c>
      <c r="J44" s="14">
        <f t="shared" si="2"/>
        <v>190000</v>
      </c>
    </row>
    <row r="45" spans="1:10" x14ac:dyDescent="0.25">
      <c r="A45" s="1">
        <v>34</v>
      </c>
      <c r="B45" s="1" t="s">
        <v>98</v>
      </c>
      <c r="C45" s="14">
        <v>141583</v>
      </c>
      <c r="D45" s="14">
        <v>868</v>
      </c>
      <c r="E45" s="14">
        <f>888+6000</f>
        <v>6888</v>
      </c>
      <c r="F45" s="14">
        <v>900</v>
      </c>
      <c r="G45" s="14">
        <v>4634</v>
      </c>
      <c r="H45" s="27">
        <v>1020</v>
      </c>
      <c r="I45" s="27">
        <v>910</v>
      </c>
      <c r="J45" s="14">
        <f t="shared" si="2"/>
        <v>156803</v>
      </c>
    </row>
    <row r="46" spans="1:10" x14ac:dyDescent="0.25">
      <c r="A46" s="1">
        <v>35</v>
      </c>
      <c r="B46" s="1" t="s">
        <v>46</v>
      </c>
      <c r="C46" s="14">
        <v>86911</v>
      </c>
      <c r="D46" s="14">
        <v>770</v>
      </c>
      <c r="E46" s="14">
        <v>440</v>
      </c>
      <c r="F46" s="14">
        <v>210</v>
      </c>
      <c r="G46" s="14">
        <v>530</v>
      </c>
      <c r="H46" s="27">
        <v>315</v>
      </c>
      <c r="I46" s="27">
        <v>476</v>
      </c>
      <c r="J46" s="14">
        <f t="shared" si="2"/>
        <v>89652</v>
      </c>
    </row>
    <row r="47" spans="1:10" x14ac:dyDescent="0.25">
      <c r="A47" s="1">
        <v>36</v>
      </c>
      <c r="B47" s="1" t="s">
        <v>14</v>
      </c>
      <c r="C47" s="14">
        <v>142031</v>
      </c>
      <c r="D47" s="14">
        <v>760</v>
      </c>
      <c r="E47" s="14">
        <v>675</v>
      </c>
      <c r="F47" s="14">
        <v>1200</v>
      </c>
      <c r="G47" s="14">
        <v>320</v>
      </c>
      <c r="H47" s="27">
        <v>220</v>
      </c>
      <c r="I47" s="27">
        <v>110</v>
      </c>
      <c r="J47" s="14">
        <f t="shared" si="2"/>
        <v>145316</v>
      </c>
    </row>
    <row r="48" spans="1:10" x14ac:dyDescent="0.25">
      <c r="A48" s="3">
        <v>37</v>
      </c>
      <c r="B48" s="3" t="s">
        <v>376</v>
      </c>
      <c r="C48" s="14">
        <v>1145211</v>
      </c>
      <c r="D48" s="14">
        <v>46100</v>
      </c>
      <c r="E48" s="14">
        <v>0</v>
      </c>
      <c r="F48" s="14">
        <v>0</v>
      </c>
      <c r="G48" s="14">
        <v>61223</v>
      </c>
      <c r="H48" s="27">
        <v>96550</v>
      </c>
      <c r="I48" s="27">
        <v>46790</v>
      </c>
      <c r="J48" s="14">
        <f t="shared" si="2"/>
        <v>1395874</v>
      </c>
    </row>
    <row r="49" spans="1:10" x14ac:dyDescent="0.25">
      <c r="A49" s="3"/>
      <c r="B49" s="3" t="s">
        <v>348</v>
      </c>
      <c r="C49" s="14">
        <v>139500</v>
      </c>
      <c r="D49" s="14"/>
      <c r="E49" s="14"/>
      <c r="F49" s="14"/>
      <c r="G49" s="14"/>
      <c r="H49" s="27"/>
      <c r="I49" s="27"/>
      <c r="J49" s="14">
        <f t="shared" si="2"/>
        <v>139500</v>
      </c>
    </row>
    <row r="50" spans="1:10" x14ac:dyDescent="0.25">
      <c r="A50" s="1">
        <v>38</v>
      </c>
      <c r="B50" s="1" t="s">
        <v>333</v>
      </c>
      <c r="C50" s="14">
        <v>769480</v>
      </c>
      <c r="D50" s="14">
        <v>18195</v>
      </c>
      <c r="E50" s="14">
        <f>225899+2570</f>
        <v>228469</v>
      </c>
      <c r="F50" s="14">
        <v>237900</v>
      </c>
      <c r="G50" s="14">
        <v>6745</v>
      </c>
      <c r="H50" s="27">
        <v>28904</v>
      </c>
      <c r="I50" s="27">
        <v>4133</v>
      </c>
      <c r="J50" s="14">
        <f t="shared" si="2"/>
        <v>1293826</v>
      </c>
    </row>
    <row r="51" spans="1:10" x14ac:dyDescent="0.25">
      <c r="A51" s="1">
        <v>39</v>
      </c>
      <c r="B51" s="1" t="s">
        <v>352</v>
      </c>
      <c r="C51" s="14">
        <v>1365337</v>
      </c>
      <c r="D51" s="14">
        <f>14800+7500</f>
        <v>22300</v>
      </c>
      <c r="E51" s="14">
        <f>37300+6600+1700</f>
        <v>45600</v>
      </c>
      <c r="F51" s="14">
        <v>168100</v>
      </c>
      <c r="G51" s="14">
        <f>65000+10500</f>
        <v>75500</v>
      </c>
      <c r="H51" s="27">
        <v>72000</v>
      </c>
      <c r="I51" s="27"/>
      <c r="J51" s="14">
        <f t="shared" si="2"/>
        <v>1748837</v>
      </c>
    </row>
    <row r="52" spans="1:10" x14ac:dyDescent="0.25">
      <c r="A52" s="1"/>
      <c r="B52" s="3" t="s">
        <v>353</v>
      </c>
      <c r="C52" s="14">
        <v>134090</v>
      </c>
      <c r="D52" s="14"/>
      <c r="E52" s="14"/>
      <c r="F52" s="14"/>
      <c r="G52" s="14"/>
      <c r="H52" s="27"/>
      <c r="I52" s="27"/>
      <c r="J52" s="14">
        <f>SUM(C52:I52)</f>
        <v>134090</v>
      </c>
    </row>
    <row r="53" spans="1:10" x14ac:dyDescent="0.25">
      <c r="A53" s="1"/>
      <c r="B53" s="3" t="s">
        <v>419</v>
      </c>
      <c r="C53" s="14">
        <v>291800</v>
      </c>
      <c r="D53" s="1">
        <v>47200</v>
      </c>
      <c r="E53" s="14">
        <v>62700</v>
      </c>
      <c r="F53" s="1">
        <v>15800</v>
      </c>
      <c r="G53" s="1">
        <v>45700</v>
      </c>
      <c r="H53" s="1">
        <v>24600</v>
      </c>
      <c r="I53" s="1"/>
      <c r="J53" s="1">
        <f>SUM(C53:I53)</f>
        <v>487800</v>
      </c>
    </row>
    <row r="54" spans="1:10" x14ac:dyDescent="0.25">
      <c r="A54" s="1">
        <v>40</v>
      </c>
      <c r="B54" s="1" t="s">
        <v>351</v>
      </c>
      <c r="C54" s="14">
        <v>703017</v>
      </c>
      <c r="D54" s="14">
        <v>0</v>
      </c>
      <c r="E54" s="14">
        <v>0</v>
      </c>
      <c r="F54" s="14">
        <v>0</v>
      </c>
      <c r="G54" s="14">
        <v>2720</v>
      </c>
      <c r="H54" s="27">
        <v>4420</v>
      </c>
      <c r="I54" s="27">
        <v>5000</v>
      </c>
      <c r="J54" s="14">
        <f t="shared" si="2"/>
        <v>715157</v>
      </c>
    </row>
    <row r="55" spans="1:10" x14ac:dyDescent="0.25">
      <c r="A55" s="1"/>
      <c r="B55" s="3" t="s">
        <v>350</v>
      </c>
      <c r="C55" s="14">
        <v>308500</v>
      </c>
      <c r="D55" s="14">
        <v>0</v>
      </c>
      <c r="E55" s="14">
        <v>0</v>
      </c>
      <c r="F55" s="14">
        <v>0</v>
      </c>
      <c r="G55" s="14">
        <v>0</v>
      </c>
      <c r="H55" s="27">
        <v>2500</v>
      </c>
      <c r="I55" s="27"/>
      <c r="J55" s="14">
        <f t="shared" si="2"/>
        <v>311000</v>
      </c>
    </row>
    <row r="56" spans="1:10" x14ac:dyDescent="0.25">
      <c r="A56" s="1">
        <v>41</v>
      </c>
      <c r="B56" s="1" t="s">
        <v>347</v>
      </c>
      <c r="C56" s="14">
        <v>974926</v>
      </c>
      <c r="D56" s="14">
        <v>65630</v>
      </c>
      <c r="E56" s="14">
        <v>24920</v>
      </c>
      <c r="F56" s="14">
        <v>0</v>
      </c>
      <c r="G56" s="14">
        <v>19211</v>
      </c>
      <c r="H56" s="27">
        <v>6880</v>
      </c>
      <c r="I56" s="27">
        <v>13225</v>
      </c>
      <c r="J56" s="14">
        <f t="shared" si="2"/>
        <v>1104792</v>
      </c>
    </row>
    <row r="57" spans="1:10" x14ac:dyDescent="0.25">
      <c r="A57" s="1" t="s">
        <v>456</v>
      </c>
      <c r="B57" s="3" t="s">
        <v>391</v>
      </c>
      <c r="C57" s="14">
        <v>177000</v>
      </c>
      <c r="D57" s="14"/>
      <c r="E57" s="14"/>
      <c r="F57" s="14"/>
      <c r="G57" s="14"/>
      <c r="H57" s="27"/>
      <c r="I57" s="27"/>
      <c r="J57" s="14">
        <f t="shared" si="2"/>
        <v>177000</v>
      </c>
    </row>
    <row r="58" spans="1:10" x14ac:dyDescent="0.25">
      <c r="A58" s="1">
        <v>42</v>
      </c>
      <c r="B58" s="1" t="s">
        <v>349</v>
      </c>
      <c r="C58" s="14">
        <v>57882</v>
      </c>
      <c r="D58" s="14"/>
      <c r="E58" s="14"/>
      <c r="F58" s="14"/>
      <c r="G58" s="14"/>
      <c r="H58" s="27"/>
      <c r="I58" s="27"/>
      <c r="J58" s="14">
        <f t="shared" si="2"/>
        <v>57882</v>
      </c>
    </row>
    <row r="59" spans="1:10" x14ac:dyDescent="0.25">
      <c r="A59" s="1">
        <v>43</v>
      </c>
      <c r="B59" s="1" t="s">
        <v>354</v>
      </c>
      <c r="C59" s="14">
        <v>273825</v>
      </c>
      <c r="D59" s="14">
        <v>0</v>
      </c>
      <c r="E59" s="14">
        <v>0</v>
      </c>
      <c r="F59" s="14">
        <v>0</v>
      </c>
      <c r="G59" s="14">
        <v>0</v>
      </c>
      <c r="H59" s="27">
        <v>0</v>
      </c>
      <c r="I59" s="27">
        <v>44810</v>
      </c>
      <c r="J59" s="14">
        <f t="shared" si="2"/>
        <v>318635</v>
      </c>
    </row>
    <row r="60" spans="1:10" x14ac:dyDescent="0.25">
      <c r="A60" s="1">
        <v>44</v>
      </c>
      <c r="B60" s="3" t="s">
        <v>382</v>
      </c>
      <c r="C60" s="14">
        <v>206500</v>
      </c>
      <c r="D60" s="14">
        <v>10000</v>
      </c>
      <c r="E60" s="14">
        <v>5000</v>
      </c>
      <c r="F60" s="14">
        <v>7000</v>
      </c>
      <c r="G60" s="14">
        <v>20000</v>
      </c>
      <c r="H60" s="27">
        <v>0</v>
      </c>
      <c r="I60" s="27">
        <v>10000</v>
      </c>
      <c r="J60" s="14">
        <f t="shared" si="2"/>
        <v>258500</v>
      </c>
    </row>
    <row r="61" spans="1:10" x14ac:dyDescent="0.25">
      <c r="A61" s="1">
        <v>45</v>
      </c>
      <c r="B61" s="3" t="s">
        <v>355</v>
      </c>
      <c r="C61" s="14">
        <v>570000</v>
      </c>
      <c r="D61" s="14">
        <v>15000</v>
      </c>
      <c r="E61" s="14">
        <v>50000</v>
      </c>
      <c r="F61" s="14">
        <v>50000</v>
      </c>
      <c r="G61" s="14">
        <v>80000</v>
      </c>
      <c r="H61" s="27">
        <v>60000</v>
      </c>
      <c r="I61" s="27"/>
      <c r="J61" s="14">
        <f t="shared" si="2"/>
        <v>825000</v>
      </c>
    </row>
    <row r="62" spans="1:10" x14ac:dyDescent="0.25">
      <c r="A62" s="1">
        <v>46</v>
      </c>
      <c r="B62" s="3" t="s">
        <v>428</v>
      </c>
      <c r="C62" s="14">
        <v>350000</v>
      </c>
      <c r="D62" s="14">
        <v>11800</v>
      </c>
      <c r="E62" s="14">
        <v>15000</v>
      </c>
      <c r="F62" s="14">
        <v>0</v>
      </c>
      <c r="G62" s="14">
        <v>10000</v>
      </c>
      <c r="H62" s="27">
        <v>0</v>
      </c>
      <c r="I62" s="27">
        <v>0</v>
      </c>
      <c r="J62" s="14">
        <f t="shared" si="2"/>
        <v>386800</v>
      </c>
    </row>
    <row r="63" spans="1:10" x14ac:dyDescent="0.25">
      <c r="A63" s="1">
        <v>47</v>
      </c>
      <c r="B63" s="3" t="s">
        <v>483</v>
      </c>
      <c r="C63" s="14">
        <v>0</v>
      </c>
      <c r="D63" s="14">
        <v>0</v>
      </c>
      <c r="E63" s="14">
        <v>0</v>
      </c>
      <c r="F63" s="14">
        <v>0</v>
      </c>
      <c r="G63" s="14">
        <v>200000</v>
      </c>
      <c r="H63" s="27"/>
      <c r="I63" s="27"/>
      <c r="J63" s="14">
        <f t="shared" si="2"/>
        <v>200000</v>
      </c>
    </row>
    <row r="64" spans="1:10" x14ac:dyDescent="0.25">
      <c r="A64" s="1">
        <v>48</v>
      </c>
      <c r="B64" s="38" t="s">
        <v>275</v>
      </c>
      <c r="C64" s="77">
        <v>3983400</v>
      </c>
      <c r="D64" s="77">
        <v>0</v>
      </c>
      <c r="E64" s="77">
        <v>0</v>
      </c>
      <c r="F64" s="77">
        <v>0</v>
      </c>
      <c r="G64" s="77">
        <v>0</v>
      </c>
      <c r="H64" s="79">
        <v>0</v>
      </c>
      <c r="I64" s="79">
        <v>0</v>
      </c>
      <c r="J64" s="77">
        <f t="shared" si="2"/>
        <v>3983400</v>
      </c>
    </row>
    <row r="65" spans="1:10" x14ac:dyDescent="0.25">
      <c r="A65" s="1">
        <v>49</v>
      </c>
      <c r="B65" s="1" t="s">
        <v>314</v>
      </c>
      <c r="C65" s="77">
        <v>835000</v>
      </c>
      <c r="D65" s="77">
        <v>0</v>
      </c>
      <c r="E65" s="77">
        <v>0</v>
      </c>
      <c r="F65" s="77">
        <v>0</v>
      </c>
      <c r="G65" s="77">
        <v>0</v>
      </c>
      <c r="H65" s="79">
        <v>0</v>
      </c>
      <c r="I65" s="79">
        <v>0</v>
      </c>
      <c r="J65" s="77">
        <f t="shared" si="2"/>
        <v>835000</v>
      </c>
    </row>
    <row r="66" spans="1:10" x14ac:dyDescent="0.25">
      <c r="A66" s="1"/>
      <c r="B66" s="3" t="s">
        <v>93</v>
      </c>
      <c r="C66" s="74">
        <f>SUM(C43:C63)</f>
        <v>8276075</v>
      </c>
      <c r="D66" s="74">
        <f>SUM(D43:D63)</f>
        <v>238623</v>
      </c>
      <c r="E66" s="74">
        <f>SUM(E43:E63)</f>
        <v>439692</v>
      </c>
      <c r="F66" s="74">
        <f>SUM(F43:F63)</f>
        <v>481110</v>
      </c>
      <c r="G66" s="74">
        <f>SUM(G43:G63)</f>
        <v>526583</v>
      </c>
      <c r="H66" s="74">
        <f>SUM(H43:H63)</f>
        <v>299409</v>
      </c>
      <c r="I66" s="74">
        <f>SUM(I43:I63)</f>
        <v>127454</v>
      </c>
      <c r="J66" s="74">
        <f>SUM(J43:J63)</f>
        <v>10388946</v>
      </c>
    </row>
    <row r="67" spans="1:10" ht="15.75" x14ac:dyDescent="0.25">
      <c r="A67" s="1"/>
      <c r="B67" s="8" t="s">
        <v>94</v>
      </c>
      <c r="C67" s="16">
        <f t="shared" ref="C67:I67" si="3">C38+C66</f>
        <v>63515051</v>
      </c>
      <c r="D67" s="16">
        <f t="shared" si="3"/>
        <v>382252</v>
      </c>
      <c r="E67" s="16">
        <f t="shared" si="3"/>
        <v>689282</v>
      </c>
      <c r="F67" s="16">
        <f t="shared" si="3"/>
        <v>1042983</v>
      </c>
      <c r="G67" s="16">
        <f t="shared" si="3"/>
        <v>871318</v>
      </c>
      <c r="H67" s="16">
        <f t="shared" si="3"/>
        <v>442597</v>
      </c>
      <c r="I67" s="16">
        <f t="shared" si="3"/>
        <v>282574</v>
      </c>
      <c r="J67" s="16">
        <f>SUM(J38+J66)</f>
        <v>67226057</v>
      </c>
    </row>
    <row r="68" spans="1:10" x14ac:dyDescent="0.25">
      <c r="J68" s="12"/>
    </row>
    <row r="69" spans="1:10" x14ac:dyDescent="0.25">
      <c r="J69" s="26"/>
    </row>
    <row r="74" spans="1:10" ht="18.75" x14ac:dyDescent="0.3">
      <c r="B74" s="5"/>
    </row>
    <row r="75" spans="1:10" ht="18.75" x14ac:dyDescent="0.3">
      <c r="B75" s="5"/>
    </row>
    <row r="76" spans="1:10" ht="18.75" x14ac:dyDescent="0.3">
      <c r="B76" s="5"/>
    </row>
    <row r="77" spans="1:10" x14ac:dyDescent="0.25">
      <c r="A77" s="61"/>
      <c r="B77" s="61"/>
      <c r="C77" s="80"/>
      <c r="D77" s="60"/>
      <c r="E77" s="60"/>
      <c r="F77" s="60"/>
      <c r="G77" s="61"/>
    </row>
    <row r="78" spans="1:10" ht="18.75" x14ac:dyDescent="0.3">
      <c r="B78" s="5" t="s">
        <v>80</v>
      </c>
    </row>
    <row r="79" spans="1:10" ht="18.75" x14ac:dyDescent="0.3">
      <c r="B79" s="5" t="s">
        <v>64</v>
      </c>
    </row>
    <row r="80" spans="1:10" ht="18.75" x14ac:dyDescent="0.3">
      <c r="B80" s="5" t="s">
        <v>271</v>
      </c>
    </row>
    <row r="81" spans="1:10" ht="18.75" x14ac:dyDescent="0.3">
      <c r="B81" s="5" t="s">
        <v>465</v>
      </c>
    </row>
    <row r="82" spans="1:10" ht="18.75" x14ac:dyDescent="0.3">
      <c r="B82" s="5"/>
    </row>
    <row r="83" spans="1:10" x14ac:dyDescent="0.25">
      <c r="A83" s="3" t="s">
        <v>163</v>
      </c>
      <c r="B83" s="3" t="s">
        <v>164</v>
      </c>
      <c r="C83" s="59" t="s">
        <v>464</v>
      </c>
      <c r="D83" s="13">
        <v>44562</v>
      </c>
      <c r="E83" s="13">
        <v>44593</v>
      </c>
      <c r="F83" s="13">
        <v>44621</v>
      </c>
      <c r="G83" s="13">
        <v>44652</v>
      </c>
      <c r="H83" s="13">
        <v>44682</v>
      </c>
      <c r="I83" s="13">
        <v>44713</v>
      </c>
      <c r="J83" s="1" t="s">
        <v>81</v>
      </c>
    </row>
    <row r="84" spans="1:10" x14ac:dyDescent="0.25">
      <c r="A84" s="38">
        <v>1</v>
      </c>
      <c r="B84" s="1" t="s">
        <v>199</v>
      </c>
      <c r="C84" s="14">
        <v>491500</v>
      </c>
      <c r="D84" s="1"/>
      <c r="E84" s="1"/>
      <c r="F84" s="1"/>
      <c r="G84" s="70"/>
      <c r="H84" s="1"/>
      <c r="I84" s="1"/>
      <c r="J84" s="70">
        <f>SUM(C84:I84)</f>
        <v>491500</v>
      </c>
    </row>
    <row r="85" spans="1:10" x14ac:dyDescent="0.25">
      <c r="A85" s="38"/>
      <c r="B85" s="1" t="s">
        <v>202</v>
      </c>
      <c r="C85" s="14">
        <v>105000</v>
      </c>
      <c r="D85" s="1"/>
      <c r="E85" s="1"/>
      <c r="F85" s="1"/>
      <c r="G85" s="70"/>
      <c r="H85" s="1"/>
      <c r="I85" s="1"/>
      <c r="J85" s="70">
        <f t="shared" ref="J85:J90" si="4">SUM(C85:I85)</f>
        <v>105000</v>
      </c>
    </row>
    <row r="86" spans="1:10" x14ac:dyDescent="0.25">
      <c r="A86" s="38">
        <v>2</v>
      </c>
      <c r="B86" s="1" t="s">
        <v>223</v>
      </c>
      <c r="C86" s="14">
        <v>2378900</v>
      </c>
      <c r="D86" s="1"/>
      <c r="E86" s="1"/>
      <c r="F86" s="1"/>
      <c r="G86" s="70"/>
      <c r="H86" s="1"/>
      <c r="I86" s="1"/>
      <c r="J86" s="70">
        <f t="shared" si="4"/>
        <v>2378900</v>
      </c>
    </row>
    <row r="87" spans="1:10" x14ac:dyDescent="0.25">
      <c r="A87" s="38">
        <v>3</v>
      </c>
      <c r="B87" s="1" t="s">
        <v>222</v>
      </c>
      <c r="C87" s="14">
        <v>565000</v>
      </c>
      <c r="D87" s="1"/>
      <c r="E87" s="1"/>
      <c r="F87" s="1"/>
      <c r="G87" s="70"/>
      <c r="H87" s="1"/>
      <c r="I87" s="1"/>
      <c r="J87" s="70">
        <f t="shared" si="4"/>
        <v>565000</v>
      </c>
    </row>
    <row r="88" spans="1:10" x14ac:dyDescent="0.25">
      <c r="A88" s="38">
        <v>4</v>
      </c>
      <c r="B88" s="1" t="s">
        <v>231</v>
      </c>
      <c r="C88" s="14">
        <v>536000</v>
      </c>
      <c r="D88" s="1"/>
      <c r="E88" s="1"/>
      <c r="F88" s="1"/>
      <c r="G88" s="70"/>
      <c r="H88" s="1"/>
      <c r="I88" s="1"/>
      <c r="J88" s="70">
        <f t="shared" si="4"/>
        <v>536000</v>
      </c>
    </row>
    <row r="89" spans="1:10" x14ac:dyDescent="0.25">
      <c r="A89" s="38">
        <v>5</v>
      </c>
      <c r="B89" s="38" t="s">
        <v>241</v>
      </c>
      <c r="C89" s="27">
        <v>700000</v>
      </c>
      <c r="D89" s="1"/>
      <c r="E89" s="1"/>
      <c r="F89" s="1"/>
      <c r="G89" s="72"/>
      <c r="H89" s="1"/>
      <c r="I89" s="1"/>
      <c r="J89" s="70">
        <f t="shared" si="4"/>
        <v>700000</v>
      </c>
    </row>
    <row r="90" spans="1:10" x14ac:dyDescent="0.25">
      <c r="A90" s="38">
        <v>6</v>
      </c>
      <c r="B90" s="38" t="s">
        <v>309</v>
      </c>
      <c r="C90" s="27">
        <v>20000</v>
      </c>
      <c r="D90" s="1"/>
      <c r="E90" s="1"/>
      <c r="F90" s="1"/>
      <c r="G90" s="72"/>
      <c r="H90" s="1"/>
      <c r="I90" s="1"/>
      <c r="J90" s="70">
        <f t="shared" si="4"/>
        <v>20000</v>
      </c>
    </row>
    <row r="91" spans="1:10" x14ac:dyDescent="0.25">
      <c r="A91" s="1"/>
      <c r="B91" s="71" t="s">
        <v>138</v>
      </c>
      <c r="C91" s="15">
        <f>SUM(C84:C90)</f>
        <v>4796400</v>
      </c>
      <c r="D91" s="15">
        <f>SUM(D84:D89)</f>
        <v>0</v>
      </c>
      <c r="E91" s="15">
        <f>SUM(E84:E90)</f>
        <v>0</v>
      </c>
      <c r="F91" s="15">
        <f>SUM(F84:F89)</f>
        <v>0</v>
      </c>
      <c r="G91" s="15">
        <f>SUM(G84:G89)</f>
        <v>0</v>
      </c>
      <c r="H91" s="1"/>
      <c r="I91" s="15">
        <f>SUM(I84:I90)</f>
        <v>0</v>
      </c>
      <c r="J91" s="15">
        <f>SUM(J84:J90)</f>
        <v>4796400</v>
      </c>
    </row>
    <row r="92" spans="1:10" x14ac:dyDescent="0.25">
      <c r="A92" s="22"/>
      <c r="B92" s="85"/>
      <c r="C92" s="86"/>
      <c r="D92" s="86"/>
      <c r="E92" s="86"/>
      <c r="F92" s="86"/>
      <c r="G92" s="86"/>
      <c r="H92" s="22"/>
      <c r="I92" s="22"/>
      <c r="J92" s="86"/>
    </row>
    <row r="93" spans="1:10" x14ac:dyDescent="0.25">
      <c r="A93" s="22"/>
      <c r="B93" s="85"/>
      <c r="C93" s="86"/>
      <c r="D93" s="86"/>
      <c r="E93" s="86"/>
      <c r="F93" s="86"/>
      <c r="G93" s="86"/>
      <c r="H93" s="22"/>
      <c r="I93" s="22"/>
      <c r="J93" s="86"/>
    </row>
    <row r="94" spans="1:10" ht="18.75" x14ac:dyDescent="0.3">
      <c r="B94" s="5" t="s">
        <v>80</v>
      </c>
    </row>
    <row r="95" spans="1:10" ht="18.75" x14ac:dyDescent="0.3">
      <c r="B95" s="5" t="s">
        <v>64</v>
      </c>
    </row>
    <row r="96" spans="1:10" ht="18.75" x14ac:dyDescent="0.3">
      <c r="B96" s="5" t="s">
        <v>272</v>
      </c>
    </row>
    <row r="97" spans="1:10" ht="18.75" x14ac:dyDescent="0.3">
      <c r="B97" s="5" t="s">
        <v>465</v>
      </c>
    </row>
    <row r="98" spans="1:10" ht="18.75" x14ac:dyDescent="0.3">
      <c r="B98" s="5"/>
    </row>
    <row r="99" spans="1:10" x14ac:dyDescent="0.25">
      <c r="A99" s="3" t="s">
        <v>163</v>
      </c>
      <c r="B99" s="3" t="s">
        <v>164</v>
      </c>
      <c r="C99" s="59" t="s">
        <v>464</v>
      </c>
      <c r="D99" s="13">
        <v>44562</v>
      </c>
      <c r="E99" s="13">
        <v>44593</v>
      </c>
      <c r="F99" s="13">
        <v>44621</v>
      </c>
      <c r="G99" s="13">
        <v>44652</v>
      </c>
      <c r="H99" s="13">
        <v>44682</v>
      </c>
      <c r="I99" s="13">
        <v>44713</v>
      </c>
      <c r="J99" s="1" t="s">
        <v>81</v>
      </c>
    </row>
    <row r="100" spans="1:10" x14ac:dyDescent="0.25">
      <c r="A100" s="38">
        <v>1</v>
      </c>
      <c r="B100" s="1" t="s">
        <v>199</v>
      </c>
      <c r="C100" s="14"/>
      <c r="D100" s="1"/>
      <c r="E100" s="1"/>
      <c r="F100" s="1"/>
      <c r="G100" s="70"/>
      <c r="H100" s="1"/>
      <c r="I100" s="1"/>
      <c r="J100" s="70">
        <f>SUM(C100:I100)</f>
        <v>0</v>
      </c>
    </row>
    <row r="101" spans="1:10" x14ac:dyDescent="0.25">
      <c r="A101" s="38"/>
      <c r="B101" s="1" t="s">
        <v>202</v>
      </c>
      <c r="C101" s="14">
        <v>0</v>
      </c>
      <c r="D101" s="1"/>
      <c r="E101" s="1"/>
      <c r="F101" s="1"/>
      <c r="G101" s="70"/>
      <c r="H101" s="1"/>
      <c r="I101" s="1"/>
      <c r="J101" s="70">
        <f t="shared" ref="J101:J106" si="5">SUM(C101:I101)</f>
        <v>0</v>
      </c>
    </row>
    <row r="102" spans="1:10" x14ac:dyDescent="0.25">
      <c r="A102" s="38">
        <v>2</v>
      </c>
      <c r="B102" s="1" t="s">
        <v>223</v>
      </c>
      <c r="C102" s="14">
        <v>2378900</v>
      </c>
      <c r="D102" s="1"/>
      <c r="E102" s="1"/>
      <c r="F102" s="1"/>
      <c r="G102" s="70"/>
      <c r="H102" s="1"/>
      <c r="I102" s="1"/>
      <c r="J102" s="70">
        <f t="shared" si="5"/>
        <v>2378900</v>
      </c>
    </row>
    <row r="103" spans="1:10" x14ac:dyDescent="0.25">
      <c r="A103" s="38">
        <v>3</v>
      </c>
      <c r="B103" s="1" t="s">
        <v>222</v>
      </c>
      <c r="C103" s="14">
        <v>565000</v>
      </c>
      <c r="D103" s="1"/>
      <c r="E103" s="1"/>
      <c r="F103" s="1"/>
      <c r="G103" s="70"/>
      <c r="H103" s="1"/>
      <c r="I103" s="1"/>
      <c r="J103" s="70">
        <f t="shared" si="5"/>
        <v>565000</v>
      </c>
    </row>
    <row r="104" spans="1:10" x14ac:dyDescent="0.25">
      <c r="A104" s="38">
        <v>4</v>
      </c>
      <c r="B104" s="1" t="s">
        <v>231</v>
      </c>
      <c r="C104" s="14">
        <v>536000</v>
      </c>
      <c r="D104" s="1"/>
      <c r="E104" s="1"/>
      <c r="F104" s="1"/>
      <c r="G104" s="70"/>
      <c r="H104" s="1"/>
      <c r="I104" s="1"/>
      <c r="J104" s="70">
        <f t="shared" si="5"/>
        <v>536000</v>
      </c>
    </row>
    <row r="105" spans="1:10" x14ac:dyDescent="0.25">
      <c r="A105" s="38">
        <v>5</v>
      </c>
      <c r="B105" s="38" t="s">
        <v>241</v>
      </c>
      <c r="C105" s="27">
        <v>700000</v>
      </c>
      <c r="D105" s="70"/>
      <c r="E105" s="1"/>
      <c r="F105" s="1"/>
      <c r="G105" s="72"/>
      <c r="H105" s="1"/>
      <c r="I105" s="1"/>
      <c r="J105" s="70">
        <f t="shared" si="5"/>
        <v>700000</v>
      </c>
    </row>
    <row r="106" spans="1:10" x14ac:dyDescent="0.25">
      <c r="A106" s="38">
        <v>6</v>
      </c>
      <c r="B106" s="38" t="s">
        <v>309</v>
      </c>
      <c r="C106" s="27">
        <v>20000</v>
      </c>
      <c r="D106" s="70"/>
      <c r="E106" s="1"/>
      <c r="F106" s="1"/>
      <c r="G106" s="72"/>
      <c r="H106" s="1"/>
      <c r="I106" s="1"/>
      <c r="J106" s="70">
        <f t="shared" si="5"/>
        <v>20000</v>
      </c>
    </row>
    <row r="107" spans="1:10" x14ac:dyDescent="0.25">
      <c r="A107" s="1"/>
      <c r="B107" s="71" t="s">
        <v>138</v>
      </c>
      <c r="C107" s="70">
        <f>SUM(C100:C106)</f>
        <v>4199900</v>
      </c>
      <c r="D107" s="15">
        <f>SUM(D100:D106)</f>
        <v>0</v>
      </c>
      <c r="E107" s="15">
        <f>SUM(E100:E105)</f>
        <v>0</v>
      </c>
      <c r="F107" s="15">
        <f>SUM(F100:F105)</f>
        <v>0</v>
      </c>
      <c r="G107" s="15">
        <f>SUM(G100:G105)</f>
        <v>0</v>
      </c>
      <c r="H107" s="15">
        <f>SUM(H100:H105)</f>
        <v>0</v>
      </c>
      <c r="I107" s="15">
        <f>SUM(I100:I105)</f>
        <v>0</v>
      </c>
      <c r="J107" s="70">
        <f>SUM(J100:J106)</f>
        <v>4199900</v>
      </c>
    </row>
    <row r="113" spans="1:10" ht="18.75" x14ac:dyDescent="0.3">
      <c r="B113" s="5" t="s">
        <v>80</v>
      </c>
    </row>
    <row r="114" spans="1:10" ht="18.75" x14ac:dyDescent="0.3">
      <c r="B114" s="5" t="s">
        <v>64</v>
      </c>
    </row>
    <row r="115" spans="1:10" ht="18.75" x14ac:dyDescent="0.3">
      <c r="B115" s="5" t="s">
        <v>279</v>
      </c>
    </row>
    <row r="116" spans="1:10" ht="18.75" x14ac:dyDescent="0.3">
      <c r="B116" s="5" t="s">
        <v>465</v>
      </c>
    </row>
    <row r="118" spans="1:10" x14ac:dyDescent="0.25">
      <c r="A118" s="3" t="s">
        <v>163</v>
      </c>
      <c r="B118" s="3" t="s">
        <v>164</v>
      </c>
      <c r="C118" s="59" t="s">
        <v>281</v>
      </c>
      <c r="D118" s="13" t="s">
        <v>280</v>
      </c>
      <c r="E118" s="13" t="s">
        <v>280</v>
      </c>
      <c r="F118" s="13" t="s">
        <v>280</v>
      </c>
      <c r="G118" s="13" t="s">
        <v>280</v>
      </c>
      <c r="H118" s="13" t="s">
        <v>280</v>
      </c>
      <c r="I118" s="13" t="s">
        <v>280</v>
      </c>
      <c r="J118" s="3" t="s">
        <v>166</v>
      </c>
    </row>
    <row r="119" spans="1:10" x14ac:dyDescent="0.25">
      <c r="A119" s="38">
        <v>1</v>
      </c>
      <c r="B119" s="1" t="s">
        <v>199</v>
      </c>
      <c r="C119" s="14">
        <v>491500</v>
      </c>
      <c r="D119" s="1"/>
      <c r="E119" s="1"/>
      <c r="F119" s="1"/>
      <c r="G119" s="70"/>
      <c r="H119" s="1"/>
      <c r="I119" s="1"/>
      <c r="J119" s="70">
        <f>C119-D119-E119-F119-G119-H119-I119</f>
        <v>491500</v>
      </c>
    </row>
    <row r="120" spans="1:10" x14ac:dyDescent="0.25">
      <c r="A120" s="38"/>
      <c r="B120" s="1" t="s">
        <v>202</v>
      </c>
      <c r="C120" s="14">
        <v>105000</v>
      </c>
      <c r="D120" s="1"/>
      <c r="E120" s="1"/>
      <c r="F120" s="1"/>
      <c r="G120" s="70"/>
      <c r="H120" s="1"/>
      <c r="I120" s="1"/>
      <c r="J120" s="70">
        <f t="shared" ref="J120:J125" si="6">C120-D120-E120-F120-G120-H120-I120</f>
        <v>105000</v>
      </c>
    </row>
    <row r="121" spans="1:10" x14ac:dyDescent="0.25">
      <c r="A121" s="38">
        <v>2</v>
      </c>
      <c r="B121" s="1" t="s">
        <v>223</v>
      </c>
      <c r="C121" s="14">
        <v>2378900</v>
      </c>
      <c r="D121" s="1">
        <v>2378900</v>
      </c>
      <c r="E121" s="1"/>
      <c r="F121" s="1"/>
      <c r="G121" s="70"/>
      <c r="H121" s="1"/>
      <c r="I121" s="1"/>
      <c r="J121" s="70">
        <f t="shared" si="6"/>
        <v>0</v>
      </c>
    </row>
    <row r="122" spans="1:10" x14ac:dyDescent="0.25">
      <c r="A122" s="38">
        <v>3</v>
      </c>
      <c r="B122" s="1" t="s">
        <v>222</v>
      </c>
      <c r="C122" s="14">
        <v>565000</v>
      </c>
      <c r="D122" s="1">
        <v>565000</v>
      </c>
      <c r="E122" s="1"/>
      <c r="F122" s="1"/>
      <c r="G122" s="70"/>
      <c r="H122" s="1"/>
      <c r="I122" s="1"/>
      <c r="J122" s="70">
        <f t="shared" si="6"/>
        <v>0</v>
      </c>
    </row>
    <row r="123" spans="1:10" x14ac:dyDescent="0.25">
      <c r="A123" s="38">
        <v>4</v>
      </c>
      <c r="B123" s="1" t="s">
        <v>231</v>
      </c>
      <c r="C123" s="14">
        <v>536000</v>
      </c>
      <c r="D123" s="1">
        <v>536000</v>
      </c>
      <c r="E123" s="1"/>
      <c r="F123" s="1"/>
      <c r="G123" s="70"/>
      <c r="H123" s="1"/>
      <c r="I123" s="1"/>
      <c r="J123" s="70">
        <f t="shared" si="6"/>
        <v>0</v>
      </c>
    </row>
    <row r="124" spans="1:10" x14ac:dyDescent="0.25">
      <c r="A124" s="38">
        <v>5</v>
      </c>
      <c r="B124" s="38" t="s">
        <v>241</v>
      </c>
      <c r="C124" s="27">
        <v>700000</v>
      </c>
      <c r="D124" s="1">
        <v>700000</v>
      </c>
      <c r="E124" s="1"/>
      <c r="F124" s="1"/>
      <c r="G124" s="72"/>
      <c r="H124" s="1"/>
      <c r="I124" s="1"/>
      <c r="J124" s="70">
        <f t="shared" si="6"/>
        <v>0</v>
      </c>
    </row>
    <row r="125" spans="1:10" x14ac:dyDescent="0.25">
      <c r="A125" s="38">
        <v>6</v>
      </c>
      <c r="B125" s="38" t="s">
        <v>309</v>
      </c>
      <c r="C125" s="27">
        <v>20000</v>
      </c>
      <c r="D125" s="1">
        <v>20000</v>
      </c>
      <c r="E125" s="1"/>
      <c r="F125" s="1"/>
      <c r="G125" s="72"/>
      <c r="H125" s="1"/>
      <c r="I125" s="1">
        <v>0</v>
      </c>
      <c r="J125" s="70">
        <f t="shared" si="6"/>
        <v>0</v>
      </c>
    </row>
    <row r="126" spans="1:10" x14ac:dyDescent="0.25">
      <c r="A126" s="1"/>
      <c r="B126" s="71" t="s">
        <v>138</v>
      </c>
      <c r="C126" s="15">
        <f>SUM(C119:C125)</f>
        <v>4796400</v>
      </c>
      <c r="D126" s="15">
        <f>SUM(D119:D125)</f>
        <v>4199900</v>
      </c>
      <c r="E126" s="15">
        <f>SUM(E119:E125)</f>
        <v>0</v>
      </c>
      <c r="F126" s="15">
        <f>SUM(F119:F124)</f>
        <v>0</v>
      </c>
      <c r="G126" s="15">
        <f>SUM(G119:G124)</f>
        <v>0</v>
      </c>
      <c r="H126" s="1">
        <f>SUM(H119:H125)</f>
        <v>0</v>
      </c>
      <c r="I126" s="1">
        <f>SUM(I119:I125)</f>
        <v>0</v>
      </c>
      <c r="J126" s="15">
        <f>SUM(J119:J125)</f>
        <v>596500</v>
      </c>
    </row>
    <row r="128" spans="1:10" ht="18.75" x14ac:dyDescent="0.3">
      <c r="B128" s="5" t="s">
        <v>377</v>
      </c>
    </row>
    <row r="129" spans="1:10" ht="18.75" x14ac:dyDescent="0.3">
      <c r="B129" s="5" t="s">
        <v>64</v>
      </c>
    </row>
    <row r="130" spans="1:10" ht="18.75" x14ac:dyDescent="0.3">
      <c r="B130" s="5" t="s">
        <v>465</v>
      </c>
    </row>
    <row r="131" spans="1:10" x14ac:dyDescent="0.25">
      <c r="A131" s="3" t="s">
        <v>163</v>
      </c>
      <c r="B131" s="3" t="s">
        <v>164</v>
      </c>
      <c r="C131" s="59" t="s">
        <v>464</v>
      </c>
      <c r="D131" s="13">
        <v>44562</v>
      </c>
      <c r="E131" s="13">
        <v>44593</v>
      </c>
      <c r="F131" s="13">
        <v>44621</v>
      </c>
      <c r="G131" s="13">
        <v>44652</v>
      </c>
      <c r="H131" s="13">
        <v>44682</v>
      </c>
      <c r="I131" s="13">
        <v>44713</v>
      </c>
      <c r="J131" s="1" t="s">
        <v>81</v>
      </c>
    </row>
    <row r="132" spans="1:10" x14ac:dyDescent="0.25">
      <c r="A132" s="38">
        <v>1</v>
      </c>
      <c r="B132" s="59" t="s">
        <v>360</v>
      </c>
      <c r="C132" s="14">
        <v>30000</v>
      </c>
      <c r="D132" s="14">
        <v>0</v>
      </c>
      <c r="E132" s="1"/>
      <c r="F132" s="1"/>
      <c r="G132" s="70"/>
      <c r="H132" s="1"/>
      <c r="I132" s="1"/>
      <c r="J132" s="70">
        <f t="shared" ref="J132:J138" si="7">SUM(C132:I132)</f>
        <v>30000</v>
      </c>
    </row>
    <row r="133" spans="1:10" x14ac:dyDescent="0.25">
      <c r="A133" s="38"/>
      <c r="B133" s="1"/>
      <c r="C133" s="14"/>
      <c r="D133" s="1"/>
      <c r="E133" s="1"/>
      <c r="F133" s="1"/>
      <c r="G133" s="70"/>
      <c r="H133" s="1"/>
      <c r="I133" s="1"/>
      <c r="J133" s="70">
        <f t="shared" si="7"/>
        <v>0</v>
      </c>
    </row>
    <row r="134" spans="1:10" x14ac:dyDescent="0.25">
      <c r="A134" s="38"/>
      <c r="B134" s="1"/>
      <c r="C134" s="14"/>
      <c r="D134" s="1"/>
      <c r="E134" s="1"/>
      <c r="F134" s="1"/>
      <c r="G134" s="70"/>
      <c r="H134" s="1"/>
      <c r="I134" s="1"/>
      <c r="J134" s="70">
        <f t="shared" si="7"/>
        <v>0</v>
      </c>
    </row>
    <row r="135" spans="1:10" x14ac:dyDescent="0.25">
      <c r="A135" s="38"/>
      <c r="B135" s="1"/>
      <c r="C135" s="14"/>
      <c r="D135" s="1"/>
      <c r="E135" s="1"/>
      <c r="F135" s="1"/>
      <c r="G135" s="70"/>
      <c r="H135" s="1"/>
      <c r="I135" s="1"/>
      <c r="J135" s="70">
        <f t="shared" si="7"/>
        <v>0</v>
      </c>
    </row>
    <row r="136" spans="1:10" x14ac:dyDescent="0.25">
      <c r="A136" s="38"/>
      <c r="B136" s="1"/>
      <c r="C136" s="14"/>
      <c r="D136" s="1"/>
      <c r="E136" s="1"/>
      <c r="F136" s="1"/>
      <c r="G136" s="70"/>
      <c r="H136" s="1"/>
      <c r="I136" s="1"/>
      <c r="J136" s="70">
        <f t="shared" si="7"/>
        <v>0</v>
      </c>
    </row>
    <row r="137" spans="1:10" x14ac:dyDescent="0.25">
      <c r="A137" s="38"/>
      <c r="B137" s="38"/>
      <c r="C137" s="27"/>
      <c r="D137" s="1"/>
      <c r="E137" s="1"/>
      <c r="F137" s="1"/>
      <c r="G137" s="72"/>
      <c r="H137" s="1"/>
      <c r="I137" s="1"/>
      <c r="J137" s="70">
        <f t="shared" si="7"/>
        <v>0</v>
      </c>
    </row>
    <row r="138" spans="1:10" x14ac:dyDescent="0.25">
      <c r="A138" s="38"/>
      <c r="B138" s="38"/>
      <c r="C138" s="27"/>
      <c r="D138" s="1"/>
      <c r="E138" s="1"/>
      <c r="F138" s="1"/>
      <c r="G138" s="72"/>
      <c r="H138" s="1"/>
      <c r="I138" s="1"/>
      <c r="J138" s="70">
        <f t="shared" si="7"/>
        <v>0</v>
      </c>
    </row>
    <row r="139" spans="1:10" x14ac:dyDescent="0.25">
      <c r="A139" s="1"/>
      <c r="B139" s="71" t="s">
        <v>138</v>
      </c>
      <c r="C139" s="15">
        <f>SUM(C132:C138)</f>
        <v>30000</v>
      </c>
      <c r="D139" s="15">
        <f>SUM(D132:D138)</f>
        <v>0</v>
      </c>
      <c r="E139" s="15">
        <f>SUM(E132:E137)</f>
        <v>0</v>
      </c>
      <c r="F139" s="15">
        <f>SUM(F132:F137)</f>
        <v>0</v>
      </c>
      <c r="G139" s="15">
        <f>SUM(G132:G137)</f>
        <v>0</v>
      </c>
      <c r="H139" s="1">
        <f>SUM(H132:H138)</f>
        <v>0</v>
      </c>
      <c r="I139" s="1">
        <f>SUM(I132:I138)</f>
        <v>0</v>
      </c>
      <c r="J139" s="15">
        <f>SUM(J132:J138)</f>
        <v>30000</v>
      </c>
    </row>
    <row r="149" spans="1:10" x14ac:dyDescent="0.25">
      <c r="A149" s="95"/>
      <c r="B149" s="12" t="s">
        <v>80</v>
      </c>
    </row>
    <row r="150" spans="1:10" x14ac:dyDescent="0.25">
      <c r="A150" s="95"/>
      <c r="B150" s="12" t="s">
        <v>64</v>
      </c>
    </row>
    <row r="151" spans="1:10" x14ac:dyDescent="0.25">
      <c r="A151" s="95"/>
      <c r="B151" s="12" t="s">
        <v>162</v>
      </c>
    </row>
    <row r="152" spans="1:10" x14ac:dyDescent="0.25">
      <c r="A152" s="95"/>
      <c r="B152" s="12" t="s">
        <v>478</v>
      </c>
    </row>
    <row r="153" spans="1:10" x14ac:dyDescent="0.25">
      <c r="A153" s="95"/>
      <c r="B153" s="12"/>
    </row>
    <row r="154" spans="1:10" x14ac:dyDescent="0.25">
      <c r="A154" s="3" t="s">
        <v>163</v>
      </c>
      <c r="B154" s="3" t="s">
        <v>164</v>
      </c>
      <c r="C154" s="59" t="s">
        <v>464</v>
      </c>
      <c r="D154" s="13">
        <v>44562</v>
      </c>
      <c r="E154" s="13">
        <v>44593</v>
      </c>
      <c r="F154" s="13">
        <v>44621</v>
      </c>
      <c r="G154" s="13">
        <v>44652</v>
      </c>
      <c r="H154" s="13">
        <v>44682</v>
      </c>
      <c r="I154" s="13">
        <v>44713</v>
      </c>
      <c r="J154" s="1" t="s">
        <v>81</v>
      </c>
    </row>
    <row r="155" spans="1:10" x14ac:dyDescent="0.25">
      <c r="A155" s="1">
        <v>1</v>
      </c>
      <c r="B155" s="1" t="s">
        <v>167</v>
      </c>
      <c r="C155" s="27">
        <v>2000000</v>
      </c>
      <c r="D155" s="27">
        <v>0</v>
      </c>
      <c r="E155" s="27">
        <v>100000</v>
      </c>
      <c r="F155" s="27">
        <v>0</v>
      </c>
      <c r="G155" s="27">
        <v>0</v>
      </c>
      <c r="H155" s="27">
        <v>0</v>
      </c>
      <c r="I155" s="27">
        <v>70000</v>
      </c>
      <c r="J155" s="72">
        <f>SUM(C155:I155)</f>
        <v>2170000</v>
      </c>
    </row>
    <row r="156" spans="1:10" x14ac:dyDescent="0.25">
      <c r="A156" s="1">
        <v>2</v>
      </c>
      <c r="B156" s="1" t="s">
        <v>168</v>
      </c>
      <c r="C156" s="27">
        <v>522000</v>
      </c>
      <c r="D156" s="27">
        <v>0</v>
      </c>
      <c r="E156" s="27">
        <v>0</v>
      </c>
      <c r="F156" s="27">
        <v>0</v>
      </c>
      <c r="G156" s="27">
        <v>0</v>
      </c>
      <c r="H156" s="27">
        <v>0</v>
      </c>
      <c r="I156" s="27">
        <v>0</v>
      </c>
      <c r="J156" s="72">
        <f t="shared" ref="J156:J206" si="8">SUM(C156:I156)</f>
        <v>522000</v>
      </c>
    </row>
    <row r="157" spans="1:10" x14ac:dyDescent="0.25">
      <c r="A157" s="1">
        <v>3</v>
      </c>
      <c r="B157" s="1" t="s">
        <v>169</v>
      </c>
      <c r="C157" s="27">
        <v>1440000</v>
      </c>
      <c r="D157" s="27"/>
      <c r="E157" s="27"/>
      <c r="F157" s="27"/>
      <c r="G157" s="27"/>
      <c r="H157" s="27"/>
      <c r="I157" s="27"/>
      <c r="J157" s="72">
        <f t="shared" si="8"/>
        <v>1440000</v>
      </c>
    </row>
    <row r="158" spans="1:10" x14ac:dyDescent="0.25">
      <c r="A158" s="1">
        <v>4</v>
      </c>
      <c r="B158" s="1" t="s">
        <v>170</v>
      </c>
      <c r="C158" s="27">
        <v>570000</v>
      </c>
      <c r="D158" s="27"/>
      <c r="E158" s="27"/>
      <c r="F158" s="27"/>
      <c r="G158" s="27"/>
      <c r="H158" s="27"/>
      <c r="I158" s="27"/>
      <c r="J158" s="72">
        <f t="shared" si="8"/>
        <v>570000</v>
      </c>
    </row>
    <row r="159" spans="1:10" x14ac:dyDescent="0.25">
      <c r="A159" s="1">
        <v>5</v>
      </c>
      <c r="B159" s="1" t="s">
        <v>171</v>
      </c>
      <c r="C159" s="27">
        <v>2109500</v>
      </c>
      <c r="D159" s="27">
        <v>0</v>
      </c>
      <c r="E159" s="27">
        <v>0</v>
      </c>
      <c r="F159" s="27">
        <v>0</v>
      </c>
      <c r="G159" s="27">
        <v>0</v>
      </c>
      <c r="H159" s="27">
        <v>50000</v>
      </c>
      <c r="I159" s="27"/>
      <c r="J159" s="72">
        <f t="shared" si="8"/>
        <v>2159500</v>
      </c>
    </row>
    <row r="160" spans="1:10" x14ac:dyDescent="0.25">
      <c r="A160" s="1">
        <v>6</v>
      </c>
      <c r="B160" s="1" t="s">
        <v>174</v>
      </c>
      <c r="C160" s="27">
        <v>1480000</v>
      </c>
      <c r="D160" s="27">
        <v>150000</v>
      </c>
      <c r="E160" s="27"/>
      <c r="F160" s="27"/>
      <c r="G160" s="27"/>
      <c r="H160" s="27"/>
      <c r="I160" s="27"/>
      <c r="J160" s="72">
        <f t="shared" si="8"/>
        <v>1630000</v>
      </c>
    </row>
    <row r="161" spans="1:10" x14ac:dyDescent="0.25">
      <c r="A161" s="1">
        <v>7</v>
      </c>
      <c r="B161" s="1" t="s">
        <v>172</v>
      </c>
      <c r="C161" s="27">
        <v>1600000</v>
      </c>
      <c r="D161" s="27">
        <v>0</v>
      </c>
      <c r="E161" s="27">
        <v>0</v>
      </c>
      <c r="F161" s="27">
        <v>0</v>
      </c>
      <c r="G161" s="27">
        <v>0</v>
      </c>
      <c r="H161" s="27">
        <v>5000</v>
      </c>
      <c r="I161" s="27"/>
      <c r="J161" s="72">
        <f t="shared" si="8"/>
        <v>1605000</v>
      </c>
    </row>
    <row r="162" spans="1:10" x14ac:dyDescent="0.25">
      <c r="A162" s="1">
        <v>8</v>
      </c>
      <c r="B162" s="1" t="s">
        <v>173</v>
      </c>
      <c r="C162" s="27">
        <v>1405000</v>
      </c>
      <c r="D162" s="27">
        <v>0</v>
      </c>
      <c r="E162" s="27">
        <v>0</v>
      </c>
      <c r="F162" s="27">
        <v>100000</v>
      </c>
      <c r="G162" s="27">
        <v>0</v>
      </c>
      <c r="H162" s="27">
        <v>70000</v>
      </c>
      <c r="I162" s="27">
        <v>100000</v>
      </c>
      <c r="J162" s="72">
        <f t="shared" si="8"/>
        <v>1675000</v>
      </c>
    </row>
    <row r="163" spans="1:10" x14ac:dyDescent="0.25">
      <c r="A163" s="90">
        <v>9</v>
      </c>
      <c r="B163" s="38" t="s">
        <v>176</v>
      </c>
      <c r="C163" s="27">
        <v>650000</v>
      </c>
      <c r="D163" s="27">
        <v>0</v>
      </c>
      <c r="E163" s="27">
        <v>0</v>
      </c>
      <c r="F163" s="27">
        <v>0</v>
      </c>
      <c r="G163" s="27">
        <v>0</v>
      </c>
      <c r="H163" s="27">
        <v>0</v>
      </c>
      <c r="I163" s="27">
        <v>0</v>
      </c>
      <c r="J163" s="72">
        <f t="shared" si="8"/>
        <v>650000</v>
      </c>
    </row>
    <row r="164" spans="1:10" x14ac:dyDescent="0.25">
      <c r="A164" s="1">
        <v>10</v>
      </c>
      <c r="B164" s="1" t="s">
        <v>177</v>
      </c>
      <c r="C164" s="27">
        <v>530000</v>
      </c>
      <c r="D164" s="27">
        <v>0</v>
      </c>
      <c r="E164" s="27">
        <v>0</v>
      </c>
      <c r="F164" s="27">
        <v>0</v>
      </c>
      <c r="G164" s="27">
        <v>0</v>
      </c>
      <c r="H164" s="27">
        <v>0</v>
      </c>
      <c r="I164" s="27">
        <v>0</v>
      </c>
      <c r="J164" s="72">
        <f t="shared" si="8"/>
        <v>530000</v>
      </c>
    </row>
    <row r="165" spans="1:10" x14ac:dyDescent="0.25">
      <c r="A165" s="1">
        <v>11</v>
      </c>
      <c r="B165" s="1" t="s">
        <v>178</v>
      </c>
      <c r="C165" s="27">
        <v>1570000</v>
      </c>
      <c r="D165" s="27"/>
      <c r="E165" s="27"/>
      <c r="F165" s="27"/>
      <c r="G165" s="27"/>
      <c r="H165" s="27"/>
      <c r="I165" s="27"/>
      <c r="J165" s="72">
        <f t="shared" si="8"/>
        <v>1570000</v>
      </c>
    </row>
    <row r="166" spans="1:10" x14ac:dyDescent="0.25">
      <c r="A166" s="1">
        <v>12</v>
      </c>
      <c r="B166" s="1" t="s">
        <v>179</v>
      </c>
      <c r="C166" s="27">
        <v>570000</v>
      </c>
      <c r="D166" s="27"/>
      <c r="E166" s="27"/>
      <c r="F166" s="27"/>
      <c r="G166" s="27"/>
      <c r="H166" s="27"/>
      <c r="I166" s="27"/>
      <c r="J166" s="72">
        <f t="shared" si="8"/>
        <v>570000</v>
      </c>
    </row>
    <row r="167" spans="1:10" x14ac:dyDescent="0.25">
      <c r="A167" s="1">
        <v>13</v>
      </c>
      <c r="B167" s="1" t="s">
        <v>180</v>
      </c>
      <c r="C167" s="27">
        <v>1575000</v>
      </c>
      <c r="D167" s="27"/>
      <c r="E167" s="27"/>
      <c r="F167" s="27"/>
      <c r="G167" s="27"/>
      <c r="H167" s="27"/>
      <c r="I167" s="27"/>
      <c r="J167" s="72">
        <f t="shared" si="8"/>
        <v>1575000</v>
      </c>
    </row>
    <row r="168" spans="1:10" x14ac:dyDescent="0.25">
      <c r="A168" s="1">
        <v>14</v>
      </c>
      <c r="B168" s="1" t="s">
        <v>181</v>
      </c>
      <c r="C168" s="27">
        <v>2250000</v>
      </c>
      <c r="D168" s="27"/>
      <c r="E168" s="27"/>
      <c r="F168" s="27"/>
      <c r="G168" s="27"/>
      <c r="H168" s="27"/>
      <c r="I168" s="27"/>
      <c r="J168" s="72">
        <f t="shared" si="8"/>
        <v>2250000</v>
      </c>
    </row>
    <row r="169" spans="1:10" x14ac:dyDescent="0.25">
      <c r="A169" s="1">
        <v>15</v>
      </c>
      <c r="B169" s="1" t="s">
        <v>182</v>
      </c>
      <c r="C169" s="27">
        <v>1280515</v>
      </c>
      <c r="D169" s="27">
        <v>0</v>
      </c>
      <c r="E169" s="27">
        <v>15000</v>
      </c>
      <c r="F169" s="27">
        <v>15000</v>
      </c>
      <c r="G169" s="27"/>
      <c r="H169" s="27"/>
      <c r="I169" s="27"/>
      <c r="J169" s="72">
        <f t="shared" si="8"/>
        <v>1310515</v>
      </c>
    </row>
    <row r="170" spans="1:10" x14ac:dyDescent="0.25">
      <c r="A170" s="1">
        <v>16</v>
      </c>
      <c r="B170" s="1" t="s">
        <v>183</v>
      </c>
      <c r="C170" s="27">
        <v>565000</v>
      </c>
      <c r="D170" s="27"/>
      <c r="E170" s="27"/>
      <c r="F170" s="27"/>
      <c r="G170" s="27"/>
      <c r="H170" s="27"/>
      <c r="I170" s="27"/>
      <c r="J170" s="72">
        <f t="shared" si="8"/>
        <v>565000</v>
      </c>
    </row>
    <row r="171" spans="1:10" x14ac:dyDescent="0.25">
      <c r="A171" s="1">
        <v>17</v>
      </c>
      <c r="B171" s="1" t="s">
        <v>184</v>
      </c>
      <c r="C171" s="27">
        <v>1916400</v>
      </c>
      <c r="D171" s="27"/>
      <c r="E171" s="27"/>
      <c r="F171" s="27"/>
      <c r="G171" s="27"/>
      <c r="H171" s="27"/>
      <c r="I171" s="27"/>
      <c r="J171" s="72">
        <f t="shared" si="8"/>
        <v>1916400</v>
      </c>
    </row>
    <row r="172" spans="1:10" x14ac:dyDescent="0.25">
      <c r="A172" s="1">
        <v>18</v>
      </c>
      <c r="B172" s="1" t="s">
        <v>185</v>
      </c>
      <c r="C172" s="27">
        <v>2090000</v>
      </c>
      <c r="D172" s="27"/>
      <c r="E172" s="27"/>
      <c r="F172" s="27"/>
      <c r="G172" s="27"/>
      <c r="H172" s="27"/>
      <c r="I172" s="27"/>
      <c r="J172" s="72">
        <f t="shared" si="8"/>
        <v>2090000</v>
      </c>
    </row>
    <row r="173" spans="1:10" x14ac:dyDescent="0.25">
      <c r="A173" s="1">
        <v>19</v>
      </c>
      <c r="B173" s="1" t="s">
        <v>186</v>
      </c>
      <c r="C173" s="27">
        <v>500000</v>
      </c>
      <c r="D173" s="27"/>
      <c r="E173" s="27"/>
      <c r="F173" s="27"/>
      <c r="G173" s="27"/>
      <c r="H173" s="27"/>
      <c r="I173" s="27"/>
      <c r="J173" s="72">
        <f t="shared" si="8"/>
        <v>500000</v>
      </c>
    </row>
    <row r="174" spans="1:10" x14ac:dyDescent="0.25">
      <c r="A174" s="1">
        <v>20</v>
      </c>
      <c r="B174" s="1" t="s">
        <v>187</v>
      </c>
      <c r="C174" s="27">
        <v>500000</v>
      </c>
      <c r="D174" s="27"/>
      <c r="E174" s="27"/>
      <c r="F174" s="27"/>
      <c r="G174" s="27"/>
      <c r="H174" s="27"/>
      <c r="I174" s="27"/>
      <c r="J174" s="72">
        <f t="shared" si="8"/>
        <v>500000</v>
      </c>
    </row>
    <row r="175" spans="1:10" x14ac:dyDescent="0.25">
      <c r="A175" s="38">
        <v>21</v>
      </c>
      <c r="B175" s="38" t="s">
        <v>188</v>
      </c>
      <c r="C175" s="27">
        <f>550000+50000-100000</f>
        <v>500000</v>
      </c>
      <c r="D175" s="27"/>
      <c r="E175" s="27"/>
      <c r="F175" s="27"/>
      <c r="G175" s="27"/>
      <c r="H175" s="27"/>
      <c r="I175" s="27"/>
      <c r="J175" s="72">
        <f t="shared" si="8"/>
        <v>500000</v>
      </c>
    </row>
    <row r="176" spans="1:10" x14ac:dyDescent="0.25">
      <c r="A176" s="38">
        <v>22</v>
      </c>
      <c r="B176" s="38" t="s">
        <v>189</v>
      </c>
      <c r="C176" s="27">
        <v>1675000</v>
      </c>
      <c r="D176" s="27">
        <v>0</v>
      </c>
      <c r="E176" s="27">
        <v>0</v>
      </c>
      <c r="F176" s="27">
        <v>0</v>
      </c>
      <c r="G176" s="27">
        <v>0</v>
      </c>
      <c r="H176" s="27">
        <v>50000</v>
      </c>
      <c r="I176" s="27"/>
      <c r="J176" s="72">
        <f t="shared" si="8"/>
        <v>1725000</v>
      </c>
    </row>
    <row r="177" spans="1:10" x14ac:dyDescent="0.25">
      <c r="A177" s="38">
        <v>23</v>
      </c>
      <c r="B177" s="38" t="s">
        <v>190</v>
      </c>
      <c r="C177" s="27">
        <v>600000</v>
      </c>
      <c r="D177" s="27"/>
      <c r="E177" s="27"/>
      <c r="F177" s="27"/>
      <c r="G177" s="27"/>
      <c r="H177" s="27"/>
      <c r="I177" s="27"/>
      <c r="J177" s="72">
        <f t="shared" si="8"/>
        <v>600000</v>
      </c>
    </row>
    <row r="178" spans="1:10" x14ac:dyDescent="0.25">
      <c r="A178" s="38">
        <v>24</v>
      </c>
      <c r="B178" s="38" t="s">
        <v>450</v>
      </c>
      <c r="C178" s="27">
        <v>1662000</v>
      </c>
      <c r="D178" s="27">
        <v>0</v>
      </c>
      <c r="E178" s="27">
        <v>0</v>
      </c>
      <c r="F178" s="27">
        <v>59100</v>
      </c>
      <c r="G178" s="27"/>
      <c r="H178" s="27"/>
      <c r="I178" s="27"/>
      <c r="J178" s="72">
        <f t="shared" si="8"/>
        <v>1721100</v>
      </c>
    </row>
    <row r="179" spans="1:10" x14ac:dyDescent="0.25">
      <c r="A179" s="38">
        <v>25</v>
      </c>
      <c r="B179" s="38" t="s">
        <v>192</v>
      </c>
      <c r="C179" s="27">
        <v>950000</v>
      </c>
      <c r="D179" s="27"/>
      <c r="E179" s="27"/>
      <c r="F179" s="27"/>
      <c r="G179" s="27"/>
      <c r="H179" s="27"/>
      <c r="I179" s="27"/>
      <c r="J179" s="72">
        <f t="shared" si="8"/>
        <v>950000</v>
      </c>
    </row>
    <row r="180" spans="1:10" x14ac:dyDescent="0.25">
      <c r="A180" s="38">
        <v>26</v>
      </c>
      <c r="B180" s="38" t="s">
        <v>193</v>
      </c>
      <c r="C180" s="27">
        <v>2694175</v>
      </c>
      <c r="D180" s="27"/>
      <c r="E180" s="27"/>
      <c r="F180" s="27"/>
      <c r="G180" s="27"/>
      <c r="H180" s="27"/>
      <c r="I180" s="27"/>
      <c r="J180" s="72">
        <f t="shared" si="8"/>
        <v>2694175</v>
      </c>
    </row>
    <row r="181" spans="1:10" x14ac:dyDescent="0.25">
      <c r="A181" s="38">
        <v>27</v>
      </c>
      <c r="B181" s="38" t="s">
        <v>378</v>
      </c>
      <c r="C181" s="27">
        <v>2890000</v>
      </c>
      <c r="D181" s="27"/>
      <c r="E181" s="27"/>
      <c r="F181" s="27"/>
      <c r="G181" s="27"/>
      <c r="H181" s="27"/>
      <c r="I181" s="27"/>
      <c r="J181" s="72">
        <f t="shared" si="8"/>
        <v>2890000</v>
      </c>
    </row>
    <row r="182" spans="1:10" x14ac:dyDescent="0.25">
      <c r="A182" s="38">
        <v>28</v>
      </c>
      <c r="B182" s="38" t="s">
        <v>196</v>
      </c>
      <c r="C182" s="27">
        <v>120000</v>
      </c>
      <c r="D182" s="27"/>
      <c r="E182" s="27"/>
      <c r="F182" s="27"/>
      <c r="G182" s="27"/>
      <c r="H182" s="27"/>
      <c r="I182" s="27"/>
      <c r="J182" s="72">
        <f t="shared" si="8"/>
        <v>120000</v>
      </c>
    </row>
    <row r="183" spans="1:10" x14ac:dyDescent="0.25">
      <c r="A183" s="38">
        <v>29</v>
      </c>
      <c r="B183" s="38" t="s">
        <v>197</v>
      </c>
      <c r="C183" s="27">
        <v>2200000</v>
      </c>
      <c r="D183" s="27"/>
      <c r="E183" s="27"/>
      <c r="F183" s="27"/>
      <c r="G183" s="27"/>
      <c r="H183" s="27"/>
      <c r="I183" s="27"/>
      <c r="J183" s="72">
        <f t="shared" si="8"/>
        <v>2200000</v>
      </c>
    </row>
    <row r="184" spans="1:10" x14ac:dyDescent="0.25">
      <c r="A184" s="38">
        <v>30</v>
      </c>
      <c r="B184" s="38" t="s">
        <v>308</v>
      </c>
      <c r="C184" s="27">
        <v>905000</v>
      </c>
      <c r="D184" s="27"/>
      <c r="E184" s="27"/>
      <c r="F184" s="27"/>
      <c r="G184" s="27"/>
      <c r="H184" s="27"/>
      <c r="I184" s="27"/>
      <c r="J184" s="72">
        <f t="shared" si="8"/>
        <v>905000</v>
      </c>
    </row>
    <row r="185" spans="1:10" x14ac:dyDescent="0.25">
      <c r="A185" s="38">
        <v>31</v>
      </c>
      <c r="B185" s="38" t="s">
        <v>482</v>
      </c>
      <c r="C185" s="27">
        <v>1700000</v>
      </c>
      <c r="D185" s="27">
        <v>0</v>
      </c>
      <c r="E185" s="27">
        <v>0</v>
      </c>
      <c r="F185" s="27">
        <v>57100</v>
      </c>
      <c r="G185" s="27"/>
      <c r="H185" s="27"/>
      <c r="I185" s="27"/>
      <c r="J185" s="72">
        <f t="shared" si="8"/>
        <v>1757100</v>
      </c>
    </row>
    <row r="186" spans="1:10" x14ac:dyDescent="0.25">
      <c r="A186" s="90">
        <v>32</v>
      </c>
      <c r="B186" s="1" t="s">
        <v>204</v>
      </c>
      <c r="C186" s="27">
        <v>1665058</v>
      </c>
      <c r="D186" s="27">
        <v>0</v>
      </c>
      <c r="E186" s="27">
        <v>0</v>
      </c>
      <c r="F186" s="27">
        <v>0</v>
      </c>
      <c r="G186" s="27">
        <v>0</v>
      </c>
      <c r="H186" s="27">
        <v>0</v>
      </c>
      <c r="I186" s="27">
        <v>0</v>
      </c>
      <c r="J186" s="72">
        <f t="shared" si="8"/>
        <v>1665058</v>
      </c>
    </row>
    <row r="187" spans="1:10" x14ac:dyDescent="0.25">
      <c r="A187" s="38">
        <v>33</v>
      </c>
      <c r="B187" s="1" t="s">
        <v>205</v>
      </c>
      <c r="C187" s="27">
        <v>600000</v>
      </c>
      <c r="D187" s="27">
        <v>0</v>
      </c>
      <c r="E187" s="27">
        <v>0</v>
      </c>
      <c r="F187" s="27">
        <v>0</v>
      </c>
      <c r="G187" s="27">
        <v>0</v>
      </c>
      <c r="H187" s="14">
        <v>0</v>
      </c>
      <c r="I187" s="14">
        <v>0</v>
      </c>
      <c r="J187" s="70">
        <f t="shared" si="8"/>
        <v>600000</v>
      </c>
    </row>
    <row r="188" spans="1:10" x14ac:dyDescent="0.25">
      <c r="A188" s="38">
        <v>34</v>
      </c>
      <c r="B188" s="1" t="s">
        <v>208</v>
      </c>
      <c r="C188" s="14">
        <v>1570000</v>
      </c>
      <c r="D188" s="14">
        <v>0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70">
        <f t="shared" si="8"/>
        <v>1570000</v>
      </c>
    </row>
    <row r="189" spans="1:10" x14ac:dyDescent="0.25">
      <c r="A189" s="38">
        <v>35</v>
      </c>
      <c r="B189" s="38" t="s">
        <v>230</v>
      </c>
      <c r="C189" s="27">
        <f>600000-50000+100000</f>
        <v>650000</v>
      </c>
      <c r="D189" s="27">
        <v>0</v>
      </c>
      <c r="E189" s="27">
        <v>0</v>
      </c>
      <c r="F189" s="27">
        <v>0</v>
      </c>
      <c r="G189" s="27">
        <v>0</v>
      </c>
      <c r="H189" s="27">
        <v>0</v>
      </c>
      <c r="I189" s="27">
        <v>0</v>
      </c>
      <c r="J189" s="72">
        <f t="shared" si="8"/>
        <v>650000</v>
      </c>
    </row>
    <row r="190" spans="1:10" x14ac:dyDescent="0.25">
      <c r="A190" s="38">
        <v>36</v>
      </c>
      <c r="B190" s="38" t="s">
        <v>236</v>
      </c>
      <c r="C190" s="27">
        <v>1569000</v>
      </c>
      <c r="D190" s="27">
        <v>0</v>
      </c>
      <c r="E190" s="27">
        <v>0</v>
      </c>
      <c r="F190" s="27">
        <v>0</v>
      </c>
      <c r="G190" s="27">
        <v>0</v>
      </c>
      <c r="H190" s="27">
        <v>0</v>
      </c>
      <c r="I190" s="27">
        <v>0</v>
      </c>
      <c r="J190" s="72">
        <f t="shared" si="8"/>
        <v>1569000</v>
      </c>
    </row>
    <row r="191" spans="1:10" x14ac:dyDescent="0.25">
      <c r="A191" s="38">
        <v>37</v>
      </c>
      <c r="B191" s="38" t="s">
        <v>285</v>
      </c>
      <c r="C191" s="27">
        <v>500000</v>
      </c>
      <c r="D191" s="27">
        <v>0</v>
      </c>
      <c r="E191" s="27">
        <v>0</v>
      </c>
      <c r="F191" s="27">
        <v>0</v>
      </c>
      <c r="G191" s="27">
        <v>0</v>
      </c>
      <c r="H191" s="27">
        <v>0</v>
      </c>
      <c r="I191" s="27">
        <v>0</v>
      </c>
      <c r="J191" s="72">
        <f t="shared" si="8"/>
        <v>500000</v>
      </c>
    </row>
    <row r="192" spans="1:10" x14ac:dyDescent="0.25">
      <c r="A192" s="38">
        <v>38</v>
      </c>
      <c r="B192" s="38" t="s">
        <v>286</v>
      </c>
      <c r="C192" s="27">
        <v>1600000</v>
      </c>
      <c r="D192" s="27">
        <v>0</v>
      </c>
      <c r="E192" s="27">
        <v>0</v>
      </c>
      <c r="F192" s="27">
        <v>0</v>
      </c>
      <c r="G192" s="27">
        <v>0</v>
      </c>
      <c r="H192" s="27">
        <v>50000</v>
      </c>
      <c r="I192" s="27">
        <v>0</v>
      </c>
      <c r="J192" s="72">
        <f t="shared" si="8"/>
        <v>1650000</v>
      </c>
    </row>
    <row r="193" spans="1:10" x14ac:dyDescent="0.25">
      <c r="A193" s="38">
        <v>39</v>
      </c>
      <c r="B193" s="38" t="s">
        <v>451</v>
      </c>
      <c r="C193" s="27">
        <v>140000</v>
      </c>
      <c r="D193" s="27">
        <v>20000</v>
      </c>
      <c r="E193" s="27">
        <v>10000</v>
      </c>
      <c r="F193" s="27">
        <v>0</v>
      </c>
      <c r="G193" s="27">
        <v>0</v>
      </c>
      <c r="H193" s="27">
        <v>10000</v>
      </c>
      <c r="I193" s="27">
        <v>0</v>
      </c>
      <c r="J193" s="72">
        <f t="shared" si="8"/>
        <v>180000</v>
      </c>
    </row>
    <row r="194" spans="1:10" x14ac:dyDescent="0.25">
      <c r="A194" s="38">
        <v>40</v>
      </c>
      <c r="B194" s="38" t="s">
        <v>288</v>
      </c>
      <c r="C194" s="27">
        <v>1109000</v>
      </c>
      <c r="D194" s="27">
        <v>800000</v>
      </c>
      <c r="E194" s="27"/>
      <c r="F194" s="27"/>
      <c r="G194" s="27"/>
      <c r="H194" s="27"/>
      <c r="I194" s="27"/>
      <c r="J194" s="72">
        <f t="shared" si="8"/>
        <v>1909000</v>
      </c>
    </row>
    <row r="195" spans="1:10" x14ac:dyDescent="0.25">
      <c r="A195" s="38">
        <v>41</v>
      </c>
      <c r="B195" s="123" t="s">
        <v>289</v>
      </c>
      <c r="C195" s="124">
        <v>1650000</v>
      </c>
      <c r="D195" s="124">
        <v>0</v>
      </c>
      <c r="E195" s="124">
        <v>100000</v>
      </c>
      <c r="F195" s="124">
        <f>100000+51900</f>
        <v>151900</v>
      </c>
      <c r="G195" s="124"/>
      <c r="H195" s="27"/>
      <c r="I195" s="27"/>
      <c r="J195" s="72">
        <f t="shared" si="8"/>
        <v>1901900</v>
      </c>
    </row>
    <row r="196" spans="1:10" x14ac:dyDescent="0.25">
      <c r="A196" s="38">
        <v>42</v>
      </c>
      <c r="B196" s="38" t="s">
        <v>315</v>
      </c>
      <c r="C196" s="27">
        <v>2520000</v>
      </c>
      <c r="D196" s="124"/>
      <c r="E196" s="27"/>
      <c r="F196" s="27"/>
      <c r="G196" s="27"/>
      <c r="H196" s="27"/>
      <c r="I196" s="27"/>
      <c r="J196" s="72">
        <f t="shared" si="8"/>
        <v>2520000</v>
      </c>
    </row>
    <row r="197" spans="1:10" x14ac:dyDescent="0.25">
      <c r="A197" s="75">
        <v>43</v>
      </c>
      <c r="B197" s="38" t="s">
        <v>316</v>
      </c>
      <c r="C197" s="27">
        <v>2800000</v>
      </c>
      <c r="D197" s="124"/>
      <c r="E197" s="27"/>
      <c r="F197" s="27"/>
      <c r="G197" s="27"/>
      <c r="H197" s="27"/>
      <c r="I197" s="27"/>
      <c r="J197" s="72">
        <f t="shared" si="8"/>
        <v>2800000</v>
      </c>
    </row>
    <row r="198" spans="1:10" x14ac:dyDescent="0.25">
      <c r="A198" s="90">
        <v>44</v>
      </c>
      <c r="B198" s="38" t="s">
        <v>338</v>
      </c>
      <c r="C198" s="27">
        <v>2300000</v>
      </c>
      <c r="D198" s="124"/>
      <c r="E198" s="27"/>
      <c r="F198" s="27"/>
      <c r="G198" s="27"/>
      <c r="H198" s="27"/>
      <c r="I198" s="27"/>
      <c r="J198" s="72">
        <f t="shared" si="8"/>
        <v>2300000</v>
      </c>
    </row>
    <row r="199" spans="1:10" x14ac:dyDescent="0.25">
      <c r="A199" s="38">
        <v>45</v>
      </c>
      <c r="B199" s="38" t="s">
        <v>383</v>
      </c>
      <c r="C199" s="27">
        <v>1450000</v>
      </c>
      <c r="D199" s="27"/>
      <c r="E199" s="27"/>
      <c r="F199" s="27"/>
      <c r="G199" s="27"/>
      <c r="H199" s="27"/>
      <c r="I199" s="27"/>
      <c r="J199" s="27">
        <f t="shared" si="8"/>
        <v>1450000</v>
      </c>
    </row>
    <row r="200" spans="1:10" x14ac:dyDescent="0.25">
      <c r="A200" s="38">
        <v>46</v>
      </c>
      <c r="B200" s="1" t="s">
        <v>384</v>
      </c>
      <c r="C200" s="14">
        <v>810000</v>
      </c>
      <c r="D200" s="14"/>
      <c r="E200" s="14"/>
      <c r="F200" s="14"/>
      <c r="G200" s="14"/>
      <c r="H200" s="14"/>
      <c r="I200" s="14"/>
      <c r="J200" s="14">
        <f t="shared" si="8"/>
        <v>810000</v>
      </c>
    </row>
    <row r="201" spans="1:10" x14ac:dyDescent="0.25">
      <c r="A201" s="38">
        <v>47</v>
      </c>
      <c r="B201" s="1" t="s">
        <v>399</v>
      </c>
      <c r="C201" s="14">
        <v>1500000</v>
      </c>
      <c r="D201" s="14"/>
      <c r="E201" s="14"/>
      <c r="F201" s="14"/>
      <c r="G201" s="14"/>
      <c r="H201" s="14"/>
      <c r="I201" s="14"/>
      <c r="J201" s="14">
        <f t="shared" si="8"/>
        <v>1500000</v>
      </c>
    </row>
    <row r="202" spans="1:10" x14ac:dyDescent="0.25">
      <c r="A202" s="38">
        <v>48</v>
      </c>
      <c r="B202" s="1" t="s">
        <v>401</v>
      </c>
      <c r="C202" s="14">
        <v>1984000</v>
      </c>
      <c r="D202" s="14">
        <v>0</v>
      </c>
      <c r="E202" s="14">
        <v>0</v>
      </c>
      <c r="F202" s="14">
        <v>0</v>
      </c>
      <c r="G202" s="14">
        <v>0</v>
      </c>
      <c r="H202" s="14">
        <v>50000</v>
      </c>
      <c r="I202" s="14"/>
      <c r="J202" s="70">
        <f t="shared" si="8"/>
        <v>2034000</v>
      </c>
    </row>
    <row r="203" spans="1:10" x14ac:dyDescent="0.25">
      <c r="A203" s="38">
        <v>49</v>
      </c>
      <c r="B203" s="1" t="s">
        <v>422</v>
      </c>
      <c r="C203" s="129">
        <v>1770000</v>
      </c>
      <c r="D203" s="14">
        <v>45000</v>
      </c>
      <c r="E203" s="14">
        <v>45000</v>
      </c>
      <c r="F203" s="14">
        <v>45000</v>
      </c>
      <c r="G203" s="14">
        <v>90000</v>
      </c>
      <c r="H203" s="14">
        <v>0</v>
      </c>
      <c r="I203" s="14">
        <v>55000</v>
      </c>
      <c r="J203" s="14">
        <f t="shared" si="8"/>
        <v>2050000</v>
      </c>
    </row>
    <row r="204" spans="1:10" x14ac:dyDescent="0.25">
      <c r="A204" s="38">
        <v>50</v>
      </c>
      <c r="B204" s="1" t="s">
        <v>480</v>
      </c>
      <c r="C204" s="129">
        <v>0</v>
      </c>
      <c r="D204" s="14">
        <v>30000</v>
      </c>
      <c r="E204" s="14">
        <v>100000</v>
      </c>
      <c r="F204" s="14">
        <v>0</v>
      </c>
      <c r="G204" s="14">
        <v>0</v>
      </c>
      <c r="H204" s="14">
        <v>10000</v>
      </c>
      <c r="I204" s="14">
        <v>50000</v>
      </c>
      <c r="J204" s="14">
        <f t="shared" si="8"/>
        <v>190000</v>
      </c>
    </row>
    <row r="205" spans="1:10" x14ac:dyDescent="0.25">
      <c r="A205" s="38">
        <v>51</v>
      </c>
      <c r="B205" s="1" t="s">
        <v>481</v>
      </c>
      <c r="C205" s="1">
        <v>0</v>
      </c>
      <c r="D205" s="1">
        <v>600000</v>
      </c>
      <c r="E205" s="1">
        <v>0</v>
      </c>
      <c r="F205" s="1">
        <v>0</v>
      </c>
      <c r="G205" s="1">
        <v>0</v>
      </c>
      <c r="H205" s="14">
        <v>0</v>
      </c>
      <c r="I205" s="14">
        <v>300000</v>
      </c>
      <c r="J205" s="14">
        <f t="shared" si="8"/>
        <v>900000</v>
      </c>
    </row>
    <row r="206" spans="1:10" x14ac:dyDescent="0.25">
      <c r="A206" s="1"/>
      <c r="B206" s="58" t="s">
        <v>138</v>
      </c>
      <c r="C206" s="15">
        <f t="shared" ref="C206:G206" si="9">SUM(C155:C205)</f>
        <v>67206648</v>
      </c>
      <c r="D206" s="15">
        <f t="shared" si="9"/>
        <v>1645000</v>
      </c>
      <c r="E206" s="15">
        <f t="shared" si="9"/>
        <v>370000</v>
      </c>
      <c r="F206" s="15">
        <f t="shared" si="9"/>
        <v>428100</v>
      </c>
      <c r="G206" s="15">
        <f t="shared" si="9"/>
        <v>90000</v>
      </c>
      <c r="H206" s="15">
        <f>SUM(H155:H205)</f>
        <v>295000</v>
      </c>
      <c r="I206" s="15">
        <f>SUM(I155:I205)</f>
        <v>575000</v>
      </c>
      <c r="J206" s="14">
        <f t="shared" si="8"/>
        <v>70609748</v>
      </c>
    </row>
    <row r="214" spans="2:10" x14ac:dyDescent="0.25">
      <c r="E214" s="26"/>
    </row>
    <row r="216" spans="2:10" x14ac:dyDescent="0.25">
      <c r="J216" s="26"/>
    </row>
    <row r="224" spans="2:10" ht="18.75" x14ac:dyDescent="0.3">
      <c r="B224" s="5" t="s">
        <v>80</v>
      </c>
    </row>
    <row r="225" spans="1:5" ht="18.75" x14ac:dyDescent="0.3">
      <c r="B225" s="5" t="s">
        <v>64</v>
      </c>
    </row>
    <row r="226" spans="1:5" ht="18.75" x14ac:dyDescent="0.3">
      <c r="B226" s="5" t="s">
        <v>243</v>
      </c>
    </row>
    <row r="227" spans="1:5" ht="18.75" x14ac:dyDescent="0.3">
      <c r="B227" s="5" t="s">
        <v>465</v>
      </c>
    </row>
    <row r="229" spans="1:5" x14ac:dyDescent="0.25">
      <c r="A229" s="3" t="s">
        <v>244</v>
      </c>
      <c r="B229" s="3" t="s">
        <v>245</v>
      </c>
      <c r="C229" s="128" t="s">
        <v>249</v>
      </c>
    </row>
    <row r="230" spans="1:5" x14ac:dyDescent="0.25">
      <c r="A230" s="1">
        <v>1</v>
      </c>
      <c r="B230" s="66" t="s">
        <v>22</v>
      </c>
      <c r="C230" s="97">
        <v>19400000</v>
      </c>
    </row>
    <row r="231" spans="1:5" x14ac:dyDescent="0.25">
      <c r="A231" s="1">
        <v>2</v>
      </c>
      <c r="B231" s="66" t="s">
        <v>246</v>
      </c>
      <c r="C231" s="97">
        <v>70609748</v>
      </c>
    </row>
    <row r="232" spans="1:5" x14ac:dyDescent="0.25">
      <c r="A232" s="1">
        <v>3</v>
      </c>
      <c r="B232" s="66" t="s">
        <v>396</v>
      </c>
      <c r="C232" s="98">
        <v>0</v>
      </c>
    </row>
    <row r="233" spans="1:5" x14ac:dyDescent="0.25">
      <c r="A233" s="1"/>
      <c r="B233" s="66" t="s">
        <v>397</v>
      </c>
      <c r="C233" s="98">
        <v>30000</v>
      </c>
    </row>
    <row r="234" spans="1:5" x14ac:dyDescent="0.25">
      <c r="A234" s="1"/>
      <c r="B234" s="66" t="s">
        <v>398</v>
      </c>
      <c r="C234" s="98">
        <v>596500</v>
      </c>
    </row>
    <row r="235" spans="1:5" x14ac:dyDescent="0.25">
      <c r="A235" s="1"/>
      <c r="B235" s="66" t="s">
        <v>427</v>
      </c>
      <c r="C235" s="98">
        <v>200000</v>
      </c>
    </row>
    <row r="236" spans="1:5" x14ac:dyDescent="0.25">
      <c r="A236" s="1">
        <v>4</v>
      </c>
      <c r="B236" s="1" t="s">
        <v>255</v>
      </c>
      <c r="C236" s="88">
        <v>918088</v>
      </c>
    </row>
    <row r="237" spans="1:5" x14ac:dyDescent="0.25">
      <c r="A237" s="1">
        <v>5</v>
      </c>
      <c r="B237" s="1" t="s">
        <v>387</v>
      </c>
      <c r="C237" s="88">
        <v>4550</v>
      </c>
    </row>
    <row r="238" spans="1:5" ht="18.75" x14ac:dyDescent="0.3">
      <c r="A238" s="1"/>
      <c r="B238" s="73" t="s">
        <v>248</v>
      </c>
      <c r="C238" s="89">
        <f>SUM(C230:C237)</f>
        <v>91758886</v>
      </c>
      <c r="D238" s="12"/>
      <c r="E238" s="118"/>
    </row>
    <row r="239" spans="1:5" ht="18.75" x14ac:dyDescent="0.3">
      <c r="B239" s="5"/>
      <c r="C239" s="26"/>
    </row>
    <row r="240" spans="1:5" ht="18.75" x14ac:dyDescent="0.3">
      <c r="A240" s="3" t="s">
        <v>250</v>
      </c>
      <c r="B240" s="73" t="s">
        <v>251</v>
      </c>
      <c r="C240" s="128" t="s">
        <v>249</v>
      </c>
    </row>
    <row r="241" spans="1:9" x14ac:dyDescent="0.25">
      <c r="A241" s="1">
        <v>1</v>
      </c>
      <c r="B241" s="66" t="s">
        <v>252</v>
      </c>
      <c r="C241" s="87">
        <v>20000000</v>
      </c>
    </row>
    <row r="242" spans="1:9" x14ac:dyDescent="0.25">
      <c r="A242" s="1">
        <v>2</v>
      </c>
      <c r="B242" s="66" t="s">
        <v>253</v>
      </c>
      <c r="C242" s="88">
        <v>67226057</v>
      </c>
    </row>
    <row r="243" spans="1:9" x14ac:dyDescent="0.25">
      <c r="A243" s="1">
        <v>3</v>
      </c>
      <c r="B243" s="66" t="s">
        <v>254</v>
      </c>
      <c r="C243" s="88">
        <v>145378</v>
      </c>
    </row>
    <row r="244" spans="1:9" x14ac:dyDescent="0.25">
      <c r="A244" s="1">
        <v>4</v>
      </c>
      <c r="B244" s="1" t="s">
        <v>296</v>
      </c>
      <c r="C244" s="88">
        <v>3000000</v>
      </c>
    </row>
    <row r="245" spans="1:9" x14ac:dyDescent="0.25">
      <c r="A245" s="1">
        <v>5</v>
      </c>
      <c r="B245" s="1" t="s">
        <v>400</v>
      </c>
      <c r="C245" s="88">
        <v>0</v>
      </c>
    </row>
    <row r="246" spans="1:9" x14ac:dyDescent="0.25">
      <c r="A246" s="1"/>
      <c r="B246" s="1" t="s">
        <v>310</v>
      </c>
      <c r="C246" s="88">
        <v>0</v>
      </c>
    </row>
    <row r="247" spans="1:9" x14ac:dyDescent="0.25">
      <c r="A247" s="1">
        <v>6</v>
      </c>
      <c r="B247" s="3" t="s">
        <v>484</v>
      </c>
      <c r="C247" s="88">
        <v>900000</v>
      </c>
    </row>
    <row r="248" spans="1:9" x14ac:dyDescent="0.25">
      <c r="A248" s="1"/>
      <c r="B248" s="1" t="s">
        <v>297</v>
      </c>
      <c r="C248" s="88">
        <v>487451</v>
      </c>
    </row>
    <row r="249" spans="1:9" ht="18.75" x14ac:dyDescent="0.3">
      <c r="A249" s="1"/>
      <c r="B249" s="73" t="s">
        <v>248</v>
      </c>
      <c r="C249" s="89">
        <f>SUM(C241:C248)</f>
        <v>91758886</v>
      </c>
    </row>
    <row r="251" spans="1:9" ht="15.75" thickBot="1" x14ac:dyDescent="0.3"/>
    <row r="252" spans="1:9" x14ac:dyDescent="0.25">
      <c r="B252" s="31" t="s">
        <v>343</v>
      </c>
      <c r="C252" s="102"/>
      <c r="D252" s="102"/>
      <c r="E252" s="108">
        <v>20000000</v>
      </c>
    </row>
    <row r="253" spans="1:9" x14ac:dyDescent="0.25">
      <c r="B253" s="103" t="s">
        <v>341</v>
      </c>
      <c r="C253" s="22"/>
      <c r="D253" s="22"/>
      <c r="E253" s="109">
        <v>500000</v>
      </c>
    </row>
    <row r="254" spans="1:9" ht="15.75" thickBot="1" x14ac:dyDescent="0.3">
      <c r="B254" s="106" t="s">
        <v>342</v>
      </c>
      <c r="C254" s="107"/>
      <c r="D254" s="107"/>
      <c r="E254" s="110">
        <v>100000</v>
      </c>
      <c r="I254" s="101"/>
    </row>
    <row r="255" spans="1:9" ht="15.75" thickBot="1" x14ac:dyDescent="0.3">
      <c r="A255" s="22"/>
      <c r="B255" s="104" t="s">
        <v>344</v>
      </c>
      <c r="C255" s="105"/>
      <c r="D255" s="105"/>
      <c r="E255" s="111">
        <v>19400000</v>
      </c>
    </row>
    <row r="263" spans="1:7" ht="18.75" x14ac:dyDescent="0.3">
      <c r="B263" s="5" t="s">
        <v>80</v>
      </c>
    </row>
    <row r="264" spans="1:7" ht="18.75" x14ac:dyDescent="0.3">
      <c r="B264" s="5" t="s">
        <v>64</v>
      </c>
    </row>
    <row r="265" spans="1:7" x14ac:dyDescent="0.25">
      <c r="B265" t="s">
        <v>465</v>
      </c>
    </row>
    <row r="266" spans="1:7" ht="15.75" x14ac:dyDescent="0.25">
      <c r="A266" s="9" t="s">
        <v>156</v>
      </c>
      <c r="B266" s="8" t="s">
        <v>139</v>
      </c>
      <c r="C266" s="9" t="s">
        <v>140</v>
      </c>
      <c r="D266" s="9" t="s">
        <v>152</v>
      </c>
      <c r="E266" s="9" t="s">
        <v>141</v>
      </c>
      <c r="F266" s="66" t="s">
        <v>142</v>
      </c>
      <c r="G266" s="17" t="s">
        <v>425</v>
      </c>
    </row>
    <row r="267" spans="1:7" ht="15.75" x14ac:dyDescent="0.25">
      <c r="A267" s="9"/>
      <c r="B267" s="8" t="s">
        <v>479</v>
      </c>
      <c r="C267" s="56">
        <v>150028</v>
      </c>
      <c r="D267" s="56">
        <v>539370</v>
      </c>
      <c r="E267" s="56">
        <v>121220</v>
      </c>
      <c r="F267" s="56">
        <v>100913</v>
      </c>
      <c r="G267" s="1">
        <v>42000</v>
      </c>
    </row>
    <row r="268" spans="1:7" ht="15.75" x14ac:dyDescent="0.25">
      <c r="A268" s="9">
        <v>1</v>
      </c>
      <c r="B268" s="9" t="s">
        <v>466</v>
      </c>
      <c r="C268" s="56">
        <v>0</v>
      </c>
      <c r="D268" s="56">
        <v>0</v>
      </c>
      <c r="E268" s="56"/>
      <c r="F268" s="56"/>
      <c r="G268" s="1">
        <v>0</v>
      </c>
    </row>
    <row r="269" spans="1:7" ht="15.75" x14ac:dyDescent="0.25">
      <c r="A269" s="9">
        <v>2</v>
      </c>
      <c r="B269" s="9" t="s">
        <v>467</v>
      </c>
      <c r="C269" s="56">
        <v>0</v>
      </c>
      <c r="D269" s="56">
        <v>0</v>
      </c>
      <c r="E269" s="56">
        <v>3700</v>
      </c>
      <c r="F269" s="56"/>
      <c r="G269" s="1">
        <v>0</v>
      </c>
    </row>
    <row r="270" spans="1:7" ht="15.75" x14ac:dyDescent="0.25">
      <c r="A270" s="9">
        <v>3</v>
      </c>
      <c r="B270" s="9" t="s">
        <v>468</v>
      </c>
      <c r="C270" s="56">
        <v>0</v>
      </c>
      <c r="D270" s="56">
        <v>0</v>
      </c>
      <c r="E270" s="56"/>
      <c r="F270" s="56"/>
      <c r="G270" s="1">
        <v>0</v>
      </c>
    </row>
    <row r="271" spans="1:7" ht="15.75" x14ac:dyDescent="0.25">
      <c r="A271" s="9">
        <v>4</v>
      </c>
      <c r="B271" s="9" t="s">
        <v>469</v>
      </c>
      <c r="C271" s="56">
        <v>0</v>
      </c>
      <c r="D271" s="56">
        <v>0</v>
      </c>
      <c r="E271" s="56"/>
      <c r="F271" s="56"/>
      <c r="G271" s="1">
        <v>0</v>
      </c>
    </row>
    <row r="272" spans="1:7" ht="15.75" x14ac:dyDescent="0.25">
      <c r="A272" s="9">
        <v>5</v>
      </c>
      <c r="B272" s="9" t="s">
        <v>470</v>
      </c>
      <c r="C272" s="56">
        <v>0</v>
      </c>
      <c r="D272" s="56">
        <v>155798.51999999999</v>
      </c>
      <c r="E272" s="56"/>
      <c r="F272" s="56"/>
      <c r="G272" s="1">
        <v>0</v>
      </c>
    </row>
    <row r="273" spans="1:7" ht="15.75" x14ac:dyDescent="0.25">
      <c r="A273" s="8">
        <v>6</v>
      </c>
      <c r="B273" s="8" t="s">
        <v>471</v>
      </c>
      <c r="C273" s="57">
        <v>8752</v>
      </c>
      <c r="D273" s="1">
        <v>0</v>
      </c>
      <c r="E273" s="1">
        <v>0</v>
      </c>
      <c r="F273" s="1">
        <v>1867.7</v>
      </c>
      <c r="G273" s="1">
        <v>0</v>
      </c>
    </row>
    <row r="274" spans="1:7" ht="15.75" x14ac:dyDescent="0.25">
      <c r="A274" s="9">
        <v>7</v>
      </c>
      <c r="B274" s="9" t="s">
        <v>472</v>
      </c>
      <c r="C274" s="56">
        <v>0</v>
      </c>
      <c r="D274" s="56">
        <v>0</v>
      </c>
      <c r="E274" s="56">
        <v>0</v>
      </c>
      <c r="F274" s="56"/>
      <c r="G274" s="1">
        <v>0</v>
      </c>
    </row>
    <row r="275" spans="1:7" ht="15.75" x14ac:dyDescent="0.25">
      <c r="A275" s="9">
        <v>8</v>
      </c>
      <c r="B275" s="9" t="s">
        <v>473</v>
      </c>
      <c r="C275" s="56">
        <v>0</v>
      </c>
      <c r="D275" s="56">
        <v>0</v>
      </c>
      <c r="E275" s="56">
        <v>0</v>
      </c>
      <c r="F275" s="56"/>
      <c r="G275" s="1">
        <v>0</v>
      </c>
    </row>
    <row r="276" spans="1:7" ht="15.75" x14ac:dyDescent="0.25">
      <c r="A276" s="9">
        <v>9</v>
      </c>
      <c r="B276" s="9" t="s">
        <v>474</v>
      </c>
      <c r="C276" s="56">
        <v>0</v>
      </c>
      <c r="D276" s="56">
        <v>0</v>
      </c>
      <c r="E276" s="56">
        <v>0</v>
      </c>
      <c r="F276" s="56"/>
      <c r="G276" s="1">
        <v>0</v>
      </c>
    </row>
    <row r="277" spans="1:7" ht="15.75" x14ac:dyDescent="0.25">
      <c r="A277" s="9">
        <v>10</v>
      </c>
      <c r="B277" s="9" t="s">
        <v>475</v>
      </c>
      <c r="C277" s="56">
        <v>0</v>
      </c>
      <c r="D277" s="56">
        <v>0</v>
      </c>
      <c r="E277" s="56">
        <v>0</v>
      </c>
      <c r="F277" s="56"/>
      <c r="G277" s="1">
        <v>0</v>
      </c>
    </row>
    <row r="278" spans="1:7" ht="15.75" x14ac:dyDescent="0.25">
      <c r="A278" s="9">
        <v>11</v>
      </c>
      <c r="B278" s="9" t="s">
        <v>476</v>
      </c>
      <c r="C278" s="56">
        <v>0</v>
      </c>
      <c r="D278" s="56">
        <v>0</v>
      </c>
      <c r="E278" s="56">
        <v>0</v>
      </c>
      <c r="F278" s="56"/>
      <c r="G278" s="1"/>
    </row>
    <row r="279" spans="1:7" ht="15.75" x14ac:dyDescent="0.25">
      <c r="A279" s="9">
        <v>12</v>
      </c>
      <c r="B279" s="66" t="s">
        <v>477</v>
      </c>
      <c r="C279" s="56"/>
      <c r="D279" s="56">
        <v>0</v>
      </c>
      <c r="E279" s="56">
        <v>0</v>
      </c>
      <c r="F279" s="56"/>
      <c r="G279" s="1"/>
    </row>
    <row r="280" spans="1:7" ht="15.75" x14ac:dyDescent="0.25">
      <c r="A280" s="9"/>
      <c r="B280" s="55" t="s">
        <v>138</v>
      </c>
      <c r="C280" s="57">
        <f>SUM(C267:C279)</f>
        <v>158780</v>
      </c>
      <c r="D280" s="57">
        <f>SUM(D267:D279)</f>
        <v>695168.52</v>
      </c>
      <c r="E280" s="57">
        <f>SUM(E267:E279)</f>
        <v>124920</v>
      </c>
      <c r="F280" s="57">
        <f>SUM(F267:F279)</f>
        <v>102780.7</v>
      </c>
      <c r="G280" s="57">
        <f>SUM(G267:G279)</f>
        <v>42000</v>
      </c>
    </row>
    <row r="281" spans="1:7" ht="15.75" thickBot="1" x14ac:dyDescent="0.3"/>
    <row r="282" spans="1:7" ht="16.5" thickBot="1" x14ac:dyDescent="0.3">
      <c r="D282" s="12" t="s">
        <v>203</v>
      </c>
      <c r="E282" s="12"/>
      <c r="F282" s="65">
        <f>SUM(C280+D280+E280+G280)-(F280)</f>
        <v>918087.82000000007</v>
      </c>
    </row>
    <row r="298" spans="1:10" ht="18.75" x14ac:dyDescent="0.3">
      <c r="B298" s="5" t="s">
        <v>80</v>
      </c>
    </row>
    <row r="299" spans="1:10" ht="18.75" x14ac:dyDescent="0.3">
      <c r="B299" s="5" t="s">
        <v>64</v>
      </c>
    </row>
    <row r="300" spans="1:10" x14ac:dyDescent="0.25">
      <c r="B300" t="s">
        <v>385</v>
      </c>
    </row>
    <row r="301" spans="1:10" x14ac:dyDescent="0.25">
      <c r="A301" s="3" t="s">
        <v>163</v>
      </c>
      <c r="B301" s="3" t="s">
        <v>164</v>
      </c>
      <c r="C301" s="59" t="s">
        <v>464</v>
      </c>
      <c r="D301" s="13">
        <v>44562</v>
      </c>
      <c r="E301" s="13">
        <v>44593</v>
      </c>
      <c r="F301" s="13">
        <v>44621</v>
      </c>
      <c r="G301" s="13">
        <v>44652</v>
      </c>
      <c r="H301" s="13">
        <v>44682</v>
      </c>
      <c r="I301" s="13">
        <v>44713</v>
      </c>
      <c r="J301" s="1" t="s">
        <v>81</v>
      </c>
    </row>
    <row r="302" spans="1:10" x14ac:dyDescent="0.25">
      <c r="A302" s="1">
        <v>1</v>
      </c>
      <c r="B302" s="1" t="s">
        <v>386</v>
      </c>
      <c r="C302" s="27">
        <v>4550</v>
      </c>
      <c r="D302" s="27">
        <v>0</v>
      </c>
      <c r="E302" s="27">
        <v>0</v>
      </c>
      <c r="F302" s="27">
        <v>0</v>
      </c>
      <c r="G302" s="27">
        <v>0</v>
      </c>
      <c r="H302" s="38"/>
      <c r="I302" s="38"/>
      <c r="J302" s="72">
        <f>SUM(C302:I302)</f>
        <v>4550</v>
      </c>
    </row>
    <row r="303" spans="1:10" x14ac:dyDescent="0.25">
      <c r="A303" s="1">
        <v>2</v>
      </c>
      <c r="B303" s="1"/>
      <c r="C303" s="27">
        <v>0</v>
      </c>
      <c r="D303" s="27">
        <v>0</v>
      </c>
      <c r="E303" s="27">
        <v>0</v>
      </c>
      <c r="F303" s="27"/>
      <c r="G303" s="27"/>
      <c r="H303" s="38"/>
      <c r="I303" s="38"/>
      <c r="J303" s="72">
        <f t="shared" ref="J303:J304" si="10">SUM(C303:I303)</f>
        <v>0</v>
      </c>
    </row>
    <row r="304" spans="1:10" x14ac:dyDescent="0.25">
      <c r="A304" s="1">
        <v>3</v>
      </c>
      <c r="B304" s="1"/>
      <c r="C304" s="27">
        <v>0</v>
      </c>
      <c r="D304" s="27">
        <v>0</v>
      </c>
      <c r="E304" s="27">
        <v>0</v>
      </c>
      <c r="F304" s="27">
        <v>0</v>
      </c>
      <c r="G304" s="27"/>
      <c r="H304" s="38"/>
      <c r="I304" s="38"/>
      <c r="J304" s="72">
        <f t="shared" si="10"/>
        <v>0</v>
      </c>
    </row>
  </sheetData>
  <pageMargins left="0.7" right="0.7" top="0.75" bottom="0.75" header="0.3" footer="0.3"/>
  <pageSetup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Year-2018 (2)</vt:lpstr>
      <vt:lpstr>Year-2018</vt:lpstr>
      <vt:lpstr>Year-2019</vt:lpstr>
      <vt:lpstr>Year-2019 (2)</vt:lpstr>
      <vt:lpstr>Year-2020(1)</vt:lpstr>
      <vt:lpstr>Year-20 (o2)</vt:lpstr>
      <vt:lpstr>Year-2021 (1)</vt:lpstr>
      <vt:lpstr>Year-2021(2)</vt:lpstr>
      <vt:lpstr>Year-2022(1)</vt:lpstr>
    </vt:vector>
  </TitlesOfParts>
  <Company>lite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ismail - [2010]</cp:lastModifiedBy>
  <cp:lastPrinted>2024-02-18T08:56:59Z</cp:lastPrinted>
  <dcterms:created xsi:type="dcterms:W3CDTF">2015-02-18T08:33:11Z</dcterms:created>
  <dcterms:modified xsi:type="dcterms:W3CDTF">2024-02-18T09:32:35Z</dcterms:modified>
</cp:coreProperties>
</file>